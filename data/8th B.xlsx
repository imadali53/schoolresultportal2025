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osition" sheetId="2" r:id="rId6"/>
    <sheet state="visible" name="Pashto" sheetId="3" r:id="rId7"/>
  </sheets>
  <definedNames/>
  <calcPr/>
</workbook>
</file>

<file path=xl/sharedStrings.xml><?xml version="1.0" encoding="utf-8"?>
<sst xmlns="http://schemas.openxmlformats.org/spreadsheetml/2006/main" count="151" uniqueCount="138">
  <si>
    <t xml:space="preserve">Annual Examination Result 2025: 8th B GHSS Adina </t>
  </si>
  <si>
    <t>S.No</t>
  </si>
  <si>
    <t>Exam Roll No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</si>
  <si>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</si>
  <si>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</si>
  <si>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</si>
  <si>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</si>
  <si>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</si>
  <si>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</si>
  <si>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</si>
  <si>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</si>
  <si>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</si>
  <si>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 xml:space="preserve">M.Q </t>
  </si>
  <si>
    <t>H.G</t>
  </si>
  <si>
    <t>Computer</t>
  </si>
  <si>
    <t>Drawing</t>
  </si>
  <si>
    <t>Obtained Marks</t>
  </si>
  <si>
    <t>Failed Subjects</t>
  </si>
  <si>
    <t>Per%</t>
  </si>
  <si>
    <t>Remarks</t>
  </si>
  <si>
    <t>Muhammad Sajjad</t>
  </si>
  <si>
    <t>Muhammad Siar</t>
  </si>
  <si>
    <t>Failed</t>
  </si>
  <si>
    <t>Muhammad Ahmad</t>
  </si>
  <si>
    <t>Liaqat Ali</t>
  </si>
  <si>
    <t>Muhammad Imran</t>
  </si>
  <si>
    <t>Arshad Ali</t>
  </si>
  <si>
    <t>Khuzaifa Noor Zaman</t>
  </si>
  <si>
    <t>Noor Zaman</t>
  </si>
  <si>
    <t>Muhammad Shayan</t>
  </si>
  <si>
    <t>Sher Nabi Khan</t>
  </si>
  <si>
    <t>Haseeb Khan</t>
  </si>
  <si>
    <t>Nasir Khan</t>
  </si>
  <si>
    <t>Abdullah Mujahid</t>
  </si>
  <si>
    <t>Mujahid</t>
  </si>
  <si>
    <t>Muhammad Haris</t>
  </si>
  <si>
    <t>Khuzaifa Ahmad</t>
  </si>
  <si>
    <t>Muhammad Fayaz</t>
  </si>
  <si>
    <t>First</t>
  </si>
  <si>
    <t>Muhammad Ubaid</t>
  </si>
  <si>
    <t>Zarwali Khan</t>
  </si>
  <si>
    <t>Shayan Khan</t>
  </si>
  <si>
    <t>Sahib Zada</t>
  </si>
  <si>
    <t>Mustafa Jan</t>
  </si>
  <si>
    <t>Fida Hussain</t>
  </si>
  <si>
    <t>Muhammad Hamza</t>
  </si>
  <si>
    <t>Israrullah</t>
  </si>
  <si>
    <t>Muhammad Sudais</t>
  </si>
  <si>
    <t>Farhad Ali</t>
  </si>
  <si>
    <t>Abid Khan</t>
  </si>
  <si>
    <t>Khalid Khan</t>
  </si>
  <si>
    <t>Muhammad Sajid</t>
  </si>
  <si>
    <t>Javed Ali</t>
  </si>
  <si>
    <t>Walid Ahmad</t>
  </si>
  <si>
    <t>Fazli Yazdan</t>
  </si>
  <si>
    <t>Muhmmad Aizaz</t>
  </si>
  <si>
    <t>Gul Wali</t>
  </si>
  <si>
    <t>Diyan Khan</t>
  </si>
  <si>
    <t>Abideen Khan</t>
  </si>
  <si>
    <t>Shahdil Khan</t>
  </si>
  <si>
    <t>Zakir Muhammad</t>
  </si>
  <si>
    <t>Muhammad Khan</t>
  </si>
  <si>
    <t>Said Khan</t>
  </si>
  <si>
    <t>Muhammad Farhan</t>
  </si>
  <si>
    <t>Muhammad Nisar</t>
  </si>
  <si>
    <t>Muhammad Osama</t>
  </si>
  <si>
    <t>Azam Khan</t>
  </si>
  <si>
    <t>Aazan Ali</t>
  </si>
  <si>
    <t>Anas Khan</t>
  </si>
  <si>
    <t>Muhammad Ishtiaq</t>
  </si>
  <si>
    <t>Talha Hussain</t>
  </si>
  <si>
    <t>Nazar Hussain</t>
  </si>
  <si>
    <t>Muhammad Abu Bakar</t>
  </si>
  <si>
    <t>Sabz Ali Khan</t>
  </si>
  <si>
    <t>Awwab Athar</t>
  </si>
  <si>
    <t>Rahat Said</t>
  </si>
  <si>
    <t>Haseeb Ullah</t>
  </si>
  <si>
    <t>Rahat Ali</t>
  </si>
  <si>
    <t>Muhammad Atif</t>
  </si>
  <si>
    <t>Ziaullah</t>
  </si>
  <si>
    <t>Muhammad Zakarya</t>
  </si>
  <si>
    <t>Shah Hussain</t>
  </si>
  <si>
    <t>Abdul Subhan</t>
  </si>
  <si>
    <t>Abdus Salam</t>
  </si>
  <si>
    <t>Muhammad Aaqib</t>
  </si>
  <si>
    <t>Ameer Wahid</t>
  </si>
  <si>
    <t>Third</t>
  </si>
  <si>
    <t>Muhammad Khuzaifa</t>
  </si>
  <si>
    <t>Hafiz Asad Ali</t>
  </si>
  <si>
    <t>Muhammad Abuzar</t>
  </si>
  <si>
    <t>Ameer Ul Haq</t>
  </si>
  <si>
    <t>Adnan Ali</t>
  </si>
  <si>
    <t>Safdar Ali</t>
  </si>
  <si>
    <t>Mehran Khan</t>
  </si>
  <si>
    <t>Saifoor Rahman</t>
  </si>
  <si>
    <t xml:space="preserve">Muhammad Afaq </t>
  </si>
  <si>
    <t>Naveed Khan</t>
  </si>
  <si>
    <t>Muhammad Sahal</t>
  </si>
  <si>
    <t>Gul Bahadar</t>
  </si>
  <si>
    <t>Izaz Ali</t>
  </si>
  <si>
    <t>Sher Nawas Khan</t>
  </si>
  <si>
    <t>Yahya Khan</t>
  </si>
  <si>
    <t>Salih Khan</t>
  </si>
  <si>
    <t>20-09-2010</t>
  </si>
  <si>
    <t>Hasnain Khan</t>
  </si>
  <si>
    <t>Adal Sher</t>
  </si>
  <si>
    <t>23-03-2009</t>
  </si>
  <si>
    <t>Muhammad Haseeb</t>
  </si>
  <si>
    <t>Niaz Muhammad</t>
  </si>
  <si>
    <t>Umar Farooq</t>
  </si>
  <si>
    <t>Sana Ullah</t>
  </si>
  <si>
    <t>15-11-2011</t>
  </si>
  <si>
    <t>Muhammad Faiz Ullah</t>
  </si>
  <si>
    <t>Muhammad Ibrahim</t>
  </si>
  <si>
    <t>Muhammad Javed</t>
  </si>
  <si>
    <t>Zohaib Khan</t>
  </si>
  <si>
    <t>Javed Khan</t>
  </si>
  <si>
    <t>Rohail Khan</t>
  </si>
  <si>
    <t>Rahman Jan</t>
  </si>
  <si>
    <t>Asad Zia</t>
  </si>
  <si>
    <t>Gohar Amin</t>
  </si>
  <si>
    <t>Muhammd Zaid</t>
  </si>
  <si>
    <t>Muhammad Siddiq</t>
  </si>
  <si>
    <t>Ibadullah</t>
  </si>
  <si>
    <t>Nazr Ul Islam</t>
  </si>
  <si>
    <t>Second</t>
  </si>
  <si>
    <t>Total Number of Students Appeared</t>
  </si>
  <si>
    <t>No.of Students Passed</t>
  </si>
  <si>
    <t>No.of Students Failed</t>
  </si>
  <si>
    <t>___________________</t>
  </si>
  <si>
    <t>________________</t>
  </si>
  <si>
    <t>____________________</t>
  </si>
  <si>
    <t>Incharge Examinations</t>
  </si>
  <si>
    <t>Prepared By</t>
  </si>
  <si>
    <t>Principal GHSS Adina (Swabi)</t>
  </si>
  <si>
    <t>Position</t>
  </si>
  <si>
    <t>Pashto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</si>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</sst>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0" fontId="4" numFmtId="0" xfId="0" applyBorder="1" applyFont="1"/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9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top" wrapText="1"/>
    </xf>
    <xf borderId="0" fillId="0" fontId="3" numFmtId="0" xfId="0" applyFont="1"/>
    <xf borderId="0" fillId="0" fontId="6" numFmtId="0" xfId="0" applyFont="1"/>
    <xf borderId="3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2.14"/>
    <col customWidth="1" min="2" max="2" width="7.86"/>
    <col customWidth="1" min="3" max="3" width="10.0"/>
    <col customWidth="1" min="4" max="4" width="21.14"/>
    <col customWidth="1" min="5" max="5" width="18.29"/>
    <col customWidth="1" min="6" max="6" width="12.14"/>
    <col customWidth="1" min="7" max="7" width="7.14"/>
    <col customWidth="1" min="8" max="8" width="6.43"/>
    <col customWidth="1" min="9" max="9" width="6.86"/>
    <col customWidth="1" min="10" max="10" width="5.0"/>
    <col customWidth="1" min="11" max="11" width="8.14"/>
    <col customWidth="1" min="12" max="12" width="5.29"/>
    <col customWidth="1" min="13" max="13" width="4.71"/>
    <col customWidth="1" min="14" max="16" width="9.14"/>
    <col customWidth="1" hidden="1" min="17" max="17" width="14.0"/>
    <col customWidth="1" min="18" max="18" width="6.71"/>
    <col customWidth="1" min="19" max="19" width="9.14"/>
    <col customWidth="1" min="2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4" t="s">
        <v>16</v>
      </c>
      <c r="Q2" s="5" t="s">
        <v>17</v>
      </c>
      <c r="R2" s="5" t="s">
        <v>18</v>
      </c>
      <c r="S2" s="5" t="s">
        <v>19</v>
      </c>
    </row>
    <row r="3">
      <c r="A3" s="7">
        <v>1.0</v>
      </c>
      <c r="B3" s="8">
        <v>350.0</v>
      </c>
      <c r="C3" s="9">
        <v>7487.0</v>
      </c>
      <c r="D3" s="9" t="s">
        <v>20</v>
      </c>
      <c r="E3" s="9" t="s">
        <v>21</v>
      </c>
      <c r="F3" s="10">
        <v>39907.0</v>
      </c>
      <c r="G3" s="9">
        <v>10.0</v>
      </c>
      <c r="H3" s="9">
        <v>12.0</v>
      </c>
      <c r="I3" s="9">
        <v>9.0</v>
      </c>
      <c r="J3" s="9">
        <v>9.0</v>
      </c>
      <c r="K3" s="9">
        <v>18.0</v>
      </c>
      <c r="L3" s="9">
        <v>5.0</v>
      </c>
      <c r="M3" s="9">
        <v>5.0</v>
      </c>
      <c r="N3" s="9">
        <v>19.0</v>
      </c>
      <c r="O3" s="9">
        <v>28.0</v>
      </c>
      <c r="P3" s="9">
        <f t="shared" ref="P3:P54" si="1">SUM(G3:O3)</f>
        <v>115</v>
      </c>
      <c r="Q3" s="9">
        <v>7.0</v>
      </c>
      <c r="R3" s="11">
        <f t="shared" ref="R3:R54" si="2">P3/625</f>
        <v>0.184</v>
      </c>
      <c r="S3" s="9" t="s">
        <v>22</v>
      </c>
    </row>
    <row r="4">
      <c r="A4" s="7">
        <v>2.0</v>
      </c>
      <c r="B4" s="8">
        <v>351.0</v>
      </c>
      <c r="C4" s="9">
        <v>7561.0</v>
      </c>
      <c r="D4" s="9" t="s">
        <v>23</v>
      </c>
      <c r="E4" s="9" t="s">
        <v>24</v>
      </c>
      <c r="F4" s="10">
        <v>40942.0</v>
      </c>
      <c r="G4" s="9">
        <v>44.0</v>
      </c>
      <c r="H4" s="9">
        <v>69.0</v>
      </c>
      <c r="I4" s="9">
        <v>12.0</v>
      </c>
      <c r="J4" s="9">
        <v>37.0</v>
      </c>
      <c r="K4" s="9">
        <v>49.0</v>
      </c>
      <c r="L4" s="9">
        <v>41.0</v>
      </c>
      <c r="M4" s="9">
        <v>49.0</v>
      </c>
      <c r="N4" s="9">
        <v>49.0</v>
      </c>
      <c r="O4" s="9">
        <v>53.0</v>
      </c>
      <c r="P4" s="9">
        <f t="shared" si="1"/>
        <v>403</v>
      </c>
      <c r="Q4" s="9">
        <v>1.0</v>
      </c>
      <c r="R4" s="11">
        <f t="shared" si="2"/>
        <v>0.6448</v>
      </c>
      <c r="S4" s="9"/>
    </row>
    <row r="5">
      <c r="A5" s="7">
        <v>3.0</v>
      </c>
      <c r="B5" s="8">
        <v>352.0</v>
      </c>
      <c r="C5" s="9">
        <v>7565.0</v>
      </c>
      <c r="D5" s="9" t="s">
        <v>25</v>
      </c>
      <c r="E5" s="9" t="s">
        <v>26</v>
      </c>
      <c r="F5" s="10">
        <v>40436.0</v>
      </c>
      <c r="G5" s="9">
        <v>17.0</v>
      </c>
      <c r="H5" s="9">
        <v>41.0</v>
      </c>
      <c r="I5" s="9">
        <v>16.0</v>
      </c>
      <c r="J5" s="9">
        <v>13.0</v>
      </c>
      <c r="K5" s="9">
        <v>28.0</v>
      </c>
      <c r="L5" s="9">
        <v>19.0</v>
      </c>
      <c r="M5" s="9">
        <v>10.0</v>
      </c>
      <c r="N5" s="9">
        <v>25.0</v>
      </c>
      <c r="O5" s="9">
        <v>17.0</v>
      </c>
      <c r="P5" s="9">
        <f t="shared" si="1"/>
        <v>186</v>
      </c>
      <c r="Q5" s="9">
        <v>5.0</v>
      </c>
      <c r="R5" s="11">
        <f t="shared" si="2"/>
        <v>0.2976</v>
      </c>
      <c r="S5" s="9"/>
    </row>
    <row r="6">
      <c r="A6" s="7">
        <v>4.0</v>
      </c>
      <c r="B6" s="8">
        <v>353.0</v>
      </c>
      <c r="C6" s="9">
        <v>7566.0</v>
      </c>
      <c r="D6" s="9" t="s">
        <v>27</v>
      </c>
      <c r="E6" s="9" t="s">
        <v>28</v>
      </c>
      <c r="F6" s="10">
        <v>40240.0</v>
      </c>
      <c r="G6" s="9">
        <v>13.0</v>
      </c>
      <c r="H6" s="9">
        <v>27.0</v>
      </c>
      <c r="I6" s="9">
        <v>17.0</v>
      </c>
      <c r="J6" s="9">
        <v>8.0</v>
      </c>
      <c r="K6" s="9">
        <v>18.0</v>
      </c>
      <c r="L6" s="9">
        <v>10.0</v>
      </c>
      <c r="M6" s="9">
        <v>3.0</v>
      </c>
      <c r="N6" s="9">
        <v>2.0</v>
      </c>
      <c r="O6" s="9">
        <v>21.0</v>
      </c>
      <c r="P6" s="9">
        <f t="shared" si="1"/>
        <v>119</v>
      </c>
      <c r="Q6" s="9">
        <v>7.0</v>
      </c>
      <c r="R6" s="11">
        <f t="shared" si="2"/>
        <v>0.1904</v>
      </c>
      <c r="S6" s="9"/>
    </row>
    <row r="7">
      <c r="A7" s="7">
        <v>5.0</v>
      </c>
      <c r="B7" s="8">
        <v>354.0</v>
      </c>
      <c r="C7" s="9">
        <v>7570.0</v>
      </c>
      <c r="D7" s="9" t="s">
        <v>29</v>
      </c>
      <c r="E7" s="9" t="s">
        <v>30</v>
      </c>
      <c r="F7" s="10">
        <v>40858.0</v>
      </c>
      <c r="G7" s="9">
        <v>13.0</v>
      </c>
      <c r="H7" s="9">
        <v>45.0</v>
      </c>
      <c r="I7" s="9">
        <v>19.0</v>
      </c>
      <c r="J7" s="9">
        <v>8.0</v>
      </c>
      <c r="K7" s="9">
        <v>21.0</v>
      </c>
      <c r="L7" s="9">
        <v>24.0</v>
      </c>
      <c r="M7" s="9">
        <v>10.0</v>
      </c>
      <c r="N7" s="9">
        <v>33.0</v>
      </c>
      <c r="O7" s="9">
        <v>26.0</v>
      </c>
      <c r="P7" s="9">
        <f t="shared" si="1"/>
        <v>199</v>
      </c>
      <c r="Q7" s="9">
        <v>4.0</v>
      </c>
      <c r="R7" s="11">
        <f t="shared" si="2"/>
        <v>0.3184</v>
      </c>
      <c r="S7" s="9"/>
    </row>
    <row r="8">
      <c r="A8" s="7">
        <v>6.0</v>
      </c>
      <c r="B8" s="8">
        <v>355.0</v>
      </c>
      <c r="C8" s="9">
        <v>7571.0</v>
      </c>
      <c r="D8" s="9" t="s">
        <v>31</v>
      </c>
      <c r="E8" s="9" t="s">
        <v>32</v>
      </c>
      <c r="F8" s="10">
        <v>40422.0</v>
      </c>
      <c r="G8" s="9">
        <v>14.0</v>
      </c>
      <c r="H8" s="9">
        <v>9.0</v>
      </c>
      <c r="I8" s="9">
        <v>13.0</v>
      </c>
      <c r="J8" s="9">
        <v>5.0</v>
      </c>
      <c r="K8" s="9">
        <v>22.0</v>
      </c>
      <c r="L8" s="9">
        <v>8.0</v>
      </c>
      <c r="M8" s="9">
        <v>2.0</v>
      </c>
      <c r="N8" s="9">
        <v>9.0</v>
      </c>
      <c r="O8" s="9">
        <v>21.0</v>
      </c>
      <c r="P8" s="9">
        <f t="shared" si="1"/>
        <v>103</v>
      </c>
      <c r="Q8" s="9">
        <v>8.0</v>
      </c>
      <c r="R8" s="11">
        <f t="shared" si="2"/>
        <v>0.1648</v>
      </c>
      <c r="S8" s="9" t="s">
        <v>22</v>
      </c>
    </row>
    <row r="9">
      <c r="A9" s="7">
        <v>7.0</v>
      </c>
      <c r="B9" s="8">
        <v>356.0</v>
      </c>
      <c r="C9" s="9">
        <v>7572.0</v>
      </c>
      <c r="D9" s="9" t="s">
        <v>33</v>
      </c>
      <c r="E9" s="9" t="s">
        <v>34</v>
      </c>
      <c r="F9" s="10">
        <v>40617.0</v>
      </c>
      <c r="G9" s="9">
        <v>7.0</v>
      </c>
      <c r="H9" s="9">
        <v>36.0</v>
      </c>
      <c r="I9" s="9">
        <v>11.0</v>
      </c>
      <c r="J9" s="9">
        <v>14.0</v>
      </c>
      <c r="K9" s="9">
        <v>24.0</v>
      </c>
      <c r="L9" s="9">
        <v>9.0</v>
      </c>
      <c r="M9" s="9">
        <v>10.0</v>
      </c>
      <c r="N9" s="9">
        <v>12.0</v>
      </c>
      <c r="O9" s="9">
        <v>16.0</v>
      </c>
      <c r="P9" s="9">
        <f t="shared" si="1"/>
        <v>139</v>
      </c>
      <c r="Q9" s="9">
        <v>7.0</v>
      </c>
      <c r="R9" s="11">
        <f t="shared" si="2"/>
        <v>0.2224</v>
      </c>
      <c r="S9" s="9" t="s">
        <v>22</v>
      </c>
    </row>
    <row r="10">
      <c r="A10" s="7">
        <v>8.0</v>
      </c>
      <c r="B10" s="8">
        <v>357.0</v>
      </c>
      <c r="C10" s="9">
        <v>7573.0</v>
      </c>
      <c r="D10" s="9" t="s">
        <v>35</v>
      </c>
      <c r="E10" s="9" t="s">
        <v>21</v>
      </c>
      <c r="F10" s="10">
        <v>40655.0</v>
      </c>
      <c r="G10" s="9">
        <v>54.0</v>
      </c>
      <c r="H10" s="9">
        <v>52.0</v>
      </c>
      <c r="I10" s="9">
        <v>33.0</v>
      </c>
      <c r="J10" s="9">
        <v>69.0</v>
      </c>
      <c r="K10" s="9">
        <v>44.0</v>
      </c>
      <c r="L10" s="9">
        <v>37.0</v>
      </c>
      <c r="M10" s="9">
        <v>52.0</v>
      </c>
      <c r="N10" s="9">
        <v>52.0</v>
      </c>
      <c r="O10" s="9">
        <v>47.0</v>
      </c>
      <c r="P10" s="9">
        <f t="shared" si="1"/>
        <v>440</v>
      </c>
      <c r="Q10" s="9"/>
      <c r="R10" s="11">
        <f t="shared" si="2"/>
        <v>0.704</v>
      </c>
      <c r="S10" s="9"/>
    </row>
    <row r="11">
      <c r="A11" s="7">
        <v>9.0</v>
      </c>
      <c r="B11" s="8">
        <v>358.0</v>
      </c>
      <c r="C11" s="9">
        <v>7576.0</v>
      </c>
      <c r="D11" s="9" t="s">
        <v>36</v>
      </c>
      <c r="E11" s="9" t="s">
        <v>37</v>
      </c>
      <c r="F11" s="10">
        <v>40584.0</v>
      </c>
      <c r="G11" s="9">
        <v>70.0</v>
      </c>
      <c r="H11" s="9">
        <v>65.0</v>
      </c>
      <c r="I11" s="9">
        <v>49.0</v>
      </c>
      <c r="J11" s="9">
        <v>71.0</v>
      </c>
      <c r="K11" s="9">
        <v>49.0</v>
      </c>
      <c r="L11" s="9">
        <v>43.0</v>
      </c>
      <c r="M11" s="9">
        <v>66.0</v>
      </c>
      <c r="N11" s="9">
        <v>67.0</v>
      </c>
      <c r="O11" s="9">
        <v>65.0</v>
      </c>
      <c r="P11" s="9">
        <f t="shared" si="1"/>
        <v>545</v>
      </c>
      <c r="Q11" s="9"/>
      <c r="R11" s="11">
        <f t="shared" si="2"/>
        <v>0.872</v>
      </c>
      <c r="S11" s="12" t="s">
        <v>38</v>
      </c>
    </row>
    <row r="12">
      <c r="A12" s="7">
        <v>10.0</v>
      </c>
      <c r="B12" s="8">
        <v>359.0</v>
      </c>
      <c r="C12" s="9">
        <v>7579.0</v>
      </c>
      <c r="D12" s="9" t="s">
        <v>39</v>
      </c>
      <c r="E12" s="9" t="s">
        <v>40</v>
      </c>
      <c r="F12" s="10">
        <v>40096.0</v>
      </c>
      <c r="G12" s="9">
        <v>12.0</v>
      </c>
      <c r="H12" s="9">
        <v>20.0</v>
      </c>
      <c r="I12" s="9">
        <v>25.0</v>
      </c>
      <c r="J12" s="9">
        <v>11.0</v>
      </c>
      <c r="K12" s="9">
        <v>24.0</v>
      </c>
      <c r="L12" s="9">
        <v>17.0</v>
      </c>
      <c r="M12" s="9">
        <v>10.0</v>
      </c>
      <c r="N12" s="9">
        <v>23.0</v>
      </c>
      <c r="O12" s="9">
        <v>43.0</v>
      </c>
      <c r="P12" s="9">
        <f t="shared" si="1"/>
        <v>185</v>
      </c>
      <c r="Q12" s="9">
        <v>5.0</v>
      </c>
      <c r="R12" s="11">
        <f t="shared" si="2"/>
        <v>0.296</v>
      </c>
      <c r="S12" s="9"/>
    </row>
    <row r="13">
      <c r="A13" s="7">
        <v>11.0</v>
      </c>
      <c r="B13" s="8">
        <v>360.0</v>
      </c>
      <c r="C13" s="9">
        <v>7929.0</v>
      </c>
      <c r="D13" s="9" t="s">
        <v>41</v>
      </c>
      <c r="E13" s="9" t="s">
        <v>42</v>
      </c>
      <c r="F13" s="10">
        <v>40604.0</v>
      </c>
      <c r="G13" s="9">
        <v>33.0</v>
      </c>
      <c r="H13" s="9">
        <v>64.0</v>
      </c>
      <c r="I13" s="9">
        <v>29.0</v>
      </c>
      <c r="J13" s="9">
        <v>26.0</v>
      </c>
      <c r="K13" s="9">
        <v>38.0</v>
      </c>
      <c r="L13" s="9">
        <v>36.0</v>
      </c>
      <c r="M13" s="9">
        <v>35.0</v>
      </c>
      <c r="N13" s="9">
        <v>46.0</v>
      </c>
      <c r="O13" s="9">
        <v>50.0</v>
      </c>
      <c r="P13" s="9">
        <f t="shared" si="1"/>
        <v>357</v>
      </c>
      <c r="Q13" s="9"/>
      <c r="R13" s="11">
        <f t="shared" si="2"/>
        <v>0.5712</v>
      </c>
      <c r="S13" s="9"/>
    </row>
    <row r="14">
      <c r="A14" s="7">
        <v>12.0</v>
      </c>
      <c r="B14" s="8">
        <v>361.0</v>
      </c>
      <c r="C14" s="9">
        <v>7581.0</v>
      </c>
      <c r="D14" s="9" t="s">
        <v>43</v>
      </c>
      <c r="E14" s="9" t="s">
        <v>44</v>
      </c>
      <c r="F14" s="10">
        <v>39859.0</v>
      </c>
      <c r="G14" s="9">
        <v>23.0</v>
      </c>
      <c r="H14" s="9">
        <v>36.0</v>
      </c>
      <c r="I14" s="9">
        <v>20.0</v>
      </c>
      <c r="J14" s="9">
        <v>6.0</v>
      </c>
      <c r="K14" s="9">
        <v>34.0</v>
      </c>
      <c r="L14" s="9">
        <v>25.0</v>
      </c>
      <c r="M14" s="9">
        <v>25.0</v>
      </c>
      <c r="N14" s="9">
        <v>35.0</v>
      </c>
      <c r="O14" s="9">
        <v>40.0</v>
      </c>
      <c r="P14" s="9">
        <f t="shared" si="1"/>
        <v>244</v>
      </c>
      <c r="Q14" s="9">
        <v>3.0</v>
      </c>
      <c r="R14" s="11">
        <f t="shared" si="2"/>
        <v>0.3904</v>
      </c>
      <c r="S14" s="9"/>
    </row>
    <row r="15">
      <c r="A15" s="7">
        <v>13.0</v>
      </c>
      <c r="B15" s="8">
        <v>362.0</v>
      </c>
      <c r="C15" s="9">
        <v>7582.0</v>
      </c>
      <c r="D15" s="9" t="s">
        <v>45</v>
      </c>
      <c r="E15" s="9" t="s">
        <v>46</v>
      </c>
      <c r="F15" s="10">
        <v>40268.0</v>
      </c>
      <c r="G15" s="9">
        <v>8.0</v>
      </c>
      <c r="H15" s="9">
        <v>42.0</v>
      </c>
      <c r="I15" s="9">
        <v>20.0</v>
      </c>
      <c r="J15" s="9">
        <v>7.0</v>
      </c>
      <c r="K15" s="9">
        <v>28.0</v>
      </c>
      <c r="L15" s="9">
        <v>21.0</v>
      </c>
      <c r="M15" s="9">
        <v>14.0</v>
      </c>
      <c r="N15" s="9">
        <v>18.0</v>
      </c>
      <c r="O15" s="9">
        <v>44.0</v>
      </c>
      <c r="P15" s="9">
        <f t="shared" si="1"/>
        <v>202</v>
      </c>
      <c r="Q15" s="9">
        <v>5.0</v>
      </c>
      <c r="R15" s="11">
        <f t="shared" si="2"/>
        <v>0.3232</v>
      </c>
      <c r="S15" s="9"/>
    </row>
    <row r="16">
      <c r="A16" s="7">
        <v>14.0</v>
      </c>
      <c r="B16" s="8">
        <v>363.0</v>
      </c>
      <c r="C16" s="9">
        <v>7583.0</v>
      </c>
      <c r="D16" s="9" t="s">
        <v>47</v>
      </c>
      <c r="E16" s="9" t="s">
        <v>48</v>
      </c>
      <c r="F16" s="10">
        <v>40635.0</v>
      </c>
      <c r="G16" s="9">
        <v>15.0</v>
      </c>
      <c r="H16" s="9">
        <v>46.0</v>
      </c>
      <c r="I16" s="9">
        <v>8.0</v>
      </c>
      <c r="J16" s="9">
        <v>7.0</v>
      </c>
      <c r="K16" s="9">
        <v>29.0</v>
      </c>
      <c r="L16" s="9">
        <v>24.0</v>
      </c>
      <c r="M16" s="9">
        <v>33.0</v>
      </c>
      <c r="N16" s="9">
        <v>33.0</v>
      </c>
      <c r="O16" s="9">
        <v>42.0</v>
      </c>
      <c r="P16" s="9">
        <f t="shared" si="1"/>
        <v>237</v>
      </c>
      <c r="Q16" s="9">
        <v>3.0</v>
      </c>
      <c r="R16" s="11">
        <f t="shared" si="2"/>
        <v>0.3792</v>
      </c>
      <c r="S16" s="9"/>
    </row>
    <row r="17">
      <c r="A17" s="7">
        <v>15.0</v>
      </c>
      <c r="B17" s="8">
        <v>364.0</v>
      </c>
      <c r="C17" s="9">
        <v>7584.0</v>
      </c>
      <c r="D17" s="9" t="s">
        <v>49</v>
      </c>
      <c r="E17" s="9" t="s">
        <v>50</v>
      </c>
      <c r="F17" s="10">
        <v>40643.0</v>
      </c>
      <c r="G17" s="9">
        <v>22.0</v>
      </c>
      <c r="H17" s="9">
        <v>39.0</v>
      </c>
      <c r="I17" s="9">
        <v>18.0</v>
      </c>
      <c r="J17" s="9">
        <v>5.0</v>
      </c>
      <c r="K17" s="9">
        <v>18.0</v>
      </c>
      <c r="L17" s="9">
        <v>18.0</v>
      </c>
      <c r="M17" s="9">
        <v>7.0</v>
      </c>
      <c r="N17" s="9">
        <v>19.0</v>
      </c>
      <c r="O17" s="9">
        <v>25.0</v>
      </c>
      <c r="P17" s="9">
        <f t="shared" si="1"/>
        <v>171</v>
      </c>
      <c r="Q17" s="9">
        <v>5.0</v>
      </c>
      <c r="R17" s="11">
        <f t="shared" si="2"/>
        <v>0.2736</v>
      </c>
      <c r="S17" s="9"/>
    </row>
    <row r="18">
      <c r="A18" s="7">
        <v>16.0</v>
      </c>
      <c r="B18" s="8">
        <v>365.0</v>
      </c>
      <c r="C18" s="9">
        <v>7587.0</v>
      </c>
      <c r="D18" s="9" t="s">
        <v>51</v>
      </c>
      <c r="E18" s="9" t="s">
        <v>52</v>
      </c>
      <c r="F18" s="10">
        <v>40636.0</v>
      </c>
      <c r="G18" s="9">
        <v>26.0</v>
      </c>
      <c r="H18" s="9">
        <v>51.0</v>
      </c>
      <c r="I18" s="9">
        <v>24.0</v>
      </c>
      <c r="J18" s="9">
        <v>20.0</v>
      </c>
      <c r="K18" s="9">
        <v>30.0</v>
      </c>
      <c r="L18" s="9">
        <v>28.0</v>
      </c>
      <c r="M18" s="9">
        <v>25.0</v>
      </c>
      <c r="N18" s="9">
        <v>34.0</v>
      </c>
      <c r="O18" s="9">
        <v>47.0</v>
      </c>
      <c r="P18" s="9">
        <f t="shared" si="1"/>
        <v>285</v>
      </c>
      <c r="Q18" s="9">
        <v>2.0</v>
      </c>
      <c r="R18" s="11">
        <f t="shared" si="2"/>
        <v>0.456</v>
      </c>
      <c r="S18" s="9"/>
    </row>
    <row r="19">
      <c r="A19" s="7">
        <v>17.0</v>
      </c>
      <c r="B19" s="8">
        <v>366.0</v>
      </c>
      <c r="C19" s="9">
        <v>7589.0</v>
      </c>
      <c r="D19" s="9" t="s">
        <v>53</v>
      </c>
      <c r="E19" s="9" t="s">
        <v>54</v>
      </c>
      <c r="F19" s="10">
        <v>41068.0</v>
      </c>
      <c r="G19" s="9">
        <v>23.0</v>
      </c>
      <c r="H19" s="9">
        <v>37.0</v>
      </c>
      <c r="I19" s="9">
        <v>17.0</v>
      </c>
      <c r="J19" s="9">
        <v>25.0</v>
      </c>
      <c r="K19" s="9">
        <v>31.0</v>
      </c>
      <c r="L19" s="9">
        <v>23.0</v>
      </c>
      <c r="M19" s="9">
        <v>17.0</v>
      </c>
      <c r="N19" s="9">
        <v>38.0</v>
      </c>
      <c r="O19" s="9">
        <v>48.0</v>
      </c>
      <c r="P19" s="9">
        <f t="shared" si="1"/>
        <v>259</v>
      </c>
      <c r="Q19" s="9">
        <v>3.0</v>
      </c>
      <c r="R19" s="11">
        <f t="shared" si="2"/>
        <v>0.4144</v>
      </c>
      <c r="S19" s="9"/>
    </row>
    <row r="20">
      <c r="A20" s="7">
        <v>18.0</v>
      </c>
      <c r="B20" s="8">
        <v>367.0</v>
      </c>
      <c r="C20" s="9">
        <v>7593.0</v>
      </c>
      <c r="D20" s="9" t="s">
        <v>55</v>
      </c>
      <c r="E20" s="9" t="s">
        <v>56</v>
      </c>
      <c r="F20" s="10">
        <v>40941.0</v>
      </c>
      <c r="G20" s="9">
        <v>25.0</v>
      </c>
      <c r="H20" s="9">
        <v>48.0</v>
      </c>
      <c r="I20" s="9">
        <v>18.0</v>
      </c>
      <c r="J20" s="9">
        <v>20.0</v>
      </c>
      <c r="K20" s="9">
        <v>34.0</v>
      </c>
      <c r="L20" s="9">
        <v>30.0</v>
      </c>
      <c r="M20" s="9">
        <v>34.0</v>
      </c>
      <c r="N20" s="9">
        <v>43.0</v>
      </c>
      <c r="O20" s="9">
        <v>49.0</v>
      </c>
      <c r="P20" s="9">
        <f t="shared" si="1"/>
        <v>301</v>
      </c>
      <c r="Q20" s="9">
        <v>2.0</v>
      </c>
      <c r="R20" s="11">
        <f t="shared" si="2"/>
        <v>0.4816</v>
      </c>
      <c r="S20" s="9"/>
    </row>
    <row r="21" ht="15.75" customHeight="1">
      <c r="A21" s="7">
        <v>19.0</v>
      </c>
      <c r="B21" s="8">
        <v>368.0</v>
      </c>
      <c r="C21" s="9">
        <v>7599.0</v>
      </c>
      <c r="D21" s="9" t="s">
        <v>57</v>
      </c>
      <c r="E21" s="9" t="s">
        <v>58</v>
      </c>
      <c r="F21" s="10">
        <v>40634.0</v>
      </c>
      <c r="G21" s="9">
        <v>59.0</v>
      </c>
      <c r="H21" s="9">
        <v>60.0</v>
      </c>
      <c r="I21" s="9">
        <v>30.0</v>
      </c>
      <c r="J21" s="9">
        <v>31.0</v>
      </c>
      <c r="K21" s="9">
        <v>40.0</v>
      </c>
      <c r="L21" s="9">
        <v>37.0</v>
      </c>
      <c r="M21" s="9">
        <v>45.0</v>
      </c>
      <c r="N21" s="9">
        <v>60.0</v>
      </c>
      <c r="O21" s="9">
        <v>61.0</v>
      </c>
      <c r="P21" s="9">
        <f t="shared" si="1"/>
        <v>423</v>
      </c>
      <c r="Q21" s="9"/>
      <c r="R21" s="11">
        <f t="shared" si="2"/>
        <v>0.6768</v>
      </c>
      <c r="S21" s="9"/>
    </row>
    <row r="22" ht="15.75" customHeight="1">
      <c r="A22" s="7">
        <v>20.0</v>
      </c>
      <c r="B22" s="8">
        <v>369.0</v>
      </c>
      <c r="C22" s="9">
        <v>7600.0</v>
      </c>
      <c r="D22" s="9" t="s">
        <v>59</v>
      </c>
      <c r="E22" s="9" t="s">
        <v>60</v>
      </c>
      <c r="F22" s="10">
        <v>40605.0</v>
      </c>
      <c r="G22" s="9">
        <v>22.0</v>
      </c>
      <c r="H22" s="9">
        <v>37.0</v>
      </c>
      <c r="I22" s="9">
        <v>22.0</v>
      </c>
      <c r="J22" s="9">
        <v>37.0</v>
      </c>
      <c r="K22" s="9">
        <v>31.0</v>
      </c>
      <c r="L22" s="9">
        <v>27.0</v>
      </c>
      <c r="M22" s="9">
        <v>17.0</v>
      </c>
      <c r="N22" s="9">
        <v>25.0</v>
      </c>
      <c r="O22" s="9">
        <v>33.0</v>
      </c>
      <c r="P22" s="9">
        <f t="shared" si="1"/>
        <v>251</v>
      </c>
      <c r="Q22" s="9">
        <v>3.0</v>
      </c>
      <c r="R22" s="11">
        <f t="shared" si="2"/>
        <v>0.4016</v>
      </c>
      <c r="S22" s="9"/>
    </row>
    <row r="23" ht="15.75" customHeight="1">
      <c r="A23" s="7">
        <v>21.0</v>
      </c>
      <c r="B23" s="8">
        <v>370.0</v>
      </c>
      <c r="C23" s="9">
        <v>7601.0</v>
      </c>
      <c r="D23" s="9" t="s">
        <v>61</v>
      </c>
      <c r="E23" s="9" t="s">
        <v>62</v>
      </c>
      <c r="F23" s="10">
        <v>40313.0</v>
      </c>
      <c r="G23" s="9">
        <v>21.0</v>
      </c>
      <c r="H23" s="9">
        <v>32.0</v>
      </c>
      <c r="I23" s="9">
        <v>21.0</v>
      </c>
      <c r="J23" s="9">
        <v>8.0</v>
      </c>
      <c r="K23" s="9">
        <v>25.0</v>
      </c>
      <c r="L23" s="9">
        <v>18.0</v>
      </c>
      <c r="M23" s="9">
        <v>7.0</v>
      </c>
      <c r="N23" s="9">
        <v>16.0</v>
      </c>
      <c r="O23" s="9">
        <v>30.0</v>
      </c>
      <c r="P23" s="9">
        <f t="shared" si="1"/>
        <v>178</v>
      </c>
      <c r="Q23" s="9">
        <v>5.0</v>
      </c>
      <c r="R23" s="11">
        <f t="shared" si="2"/>
        <v>0.2848</v>
      </c>
      <c r="S23" s="9"/>
    </row>
    <row r="24" ht="15.75" customHeight="1">
      <c r="A24" s="7">
        <v>22.0</v>
      </c>
      <c r="B24" s="8">
        <v>371.0</v>
      </c>
      <c r="C24" s="9">
        <v>7602.0</v>
      </c>
      <c r="D24" s="9" t="s">
        <v>63</v>
      </c>
      <c r="E24" s="9" t="s">
        <v>64</v>
      </c>
      <c r="F24" s="10">
        <v>40619.0</v>
      </c>
      <c r="G24" s="9">
        <v>14.0</v>
      </c>
      <c r="H24" s="9">
        <v>26.0</v>
      </c>
      <c r="I24" s="9">
        <v>25.0</v>
      </c>
      <c r="J24" s="9">
        <v>14.0</v>
      </c>
      <c r="K24" s="9">
        <v>20.0</v>
      </c>
      <c r="L24" s="9">
        <v>10.0</v>
      </c>
      <c r="M24" s="9">
        <v>13.0</v>
      </c>
      <c r="N24" s="9">
        <v>10.0</v>
      </c>
      <c r="O24" s="9">
        <v>39.0</v>
      </c>
      <c r="P24" s="9">
        <f t="shared" si="1"/>
        <v>171</v>
      </c>
      <c r="Q24" s="9">
        <v>5.0</v>
      </c>
      <c r="R24" s="11">
        <f t="shared" si="2"/>
        <v>0.2736</v>
      </c>
      <c r="S24" s="9"/>
    </row>
    <row r="25" ht="15.75" customHeight="1">
      <c r="A25" s="7">
        <v>23.0</v>
      </c>
      <c r="B25" s="8">
        <v>372.0</v>
      </c>
      <c r="C25" s="9">
        <v>7608.0</v>
      </c>
      <c r="D25" s="9" t="s">
        <v>65</v>
      </c>
      <c r="E25" s="9" t="s">
        <v>66</v>
      </c>
      <c r="F25" s="10">
        <v>40214.0</v>
      </c>
      <c r="G25" s="9">
        <v>12.0</v>
      </c>
      <c r="H25" s="9">
        <v>21.0</v>
      </c>
      <c r="I25" s="9">
        <v>15.0</v>
      </c>
      <c r="J25" s="9">
        <v>7.0</v>
      </c>
      <c r="K25" s="9">
        <v>24.0</v>
      </c>
      <c r="L25" s="9">
        <v>10.0</v>
      </c>
      <c r="M25" s="9">
        <v>14.0</v>
      </c>
      <c r="N25" s="9">
        <v>9.0</v>
      </c>
      <c r="O25" s="9">
        <v>29.0</v>
      </c>
      <c r="P25" s="9">
        <f t="shared" si="1"/>
        <v>141</v>
      </c>
      <c r="Q25" s="9">
        <v>7.0</v>
      </c>
      <c r="R25" s="11">
        <f t="shared" si="2"/>
        <v>0.2256</v>
      </c>
      <c r="S25" s="9" t="s">
        <v>22</v>
      </c>
    </row>
    <row r="26" ht="15.75" customHeight="1">
      <c r="A26" s="7">
        <v>24.0</v>
      </c>
      <c r="B26" s="8">
        <v>373.0</v>
      </c>
      <c r="C26" s="9">
        <v>7612.0</v>
      </c>
      <c r="D26" s="9" t="s">
        <v>67</v>
      </c>
      <c r="E26" s="9" t="s">
        <v>24</v>
      </c>
      <c r="F26" s="10">
        <v>40760.0</v>
      </c>
      <c r="G26" s="9">
        <v>28.0</v>
      </c>
      <c r="H26" s="9">
        <v>70.0</v>
      </c>
      <c r="I26" s="9">
        <v>37.0</v>
      </c>
      <c r="J26" s="9">
        <v>11.0</v>
      </c>
      <c r="K26" s="9">
        <v>35.0</v>
      </c>
      <c r="L26" s="9">
        <v>31.0</v>
      </c>
      <c r="M26" s="9">
        <v>36.0</v>
      </c>
      <c r="N26" s="9">
        <v>18.0</v>
      </c>
      <c r="O26" s="9">
        <v>54.0</v>
      </c>
      <c r="P26" s="9">
        <f t="shared" si="1"/>
        <v>320</v>
      </c>
      <c r="Q26" s="9">
        <v>2.0</v>
      </c>
      <c r="R26" s="11">
        <f t="shared" si="2"/>
        <v>0.512</v>
      </c>
      <c r="S26" s="9"/>
    </row>
    <row r="27" ht="15.75" customHeight="1">
      <c r="A27" s="7">
        <v>25.0</v>
      </c>
      <c r="B27" s="8">
        <v>374.0</v>
      </c>
      <c r="C27" s="9">
        <v>7616.0</v>
      </c>
      <c r="D27" s="9" t="s">
        <v>68</v>
      </c>
      <c r="E27" s="9" t="s">
        <v>69</v>
      </c>
      <c r="F27" s="10">
        <v>39971.0</v>
      </c>
      <c r="G27" s="9">
        <v>35.0</v>
      </c>
      <c r="H27" s="9">
        <v>67.0</v>
      </c>
      <c r="I27" s="9">
        <v>41.0</v>
      </c>
      <c r="J27" s="9">
        <v>20.0</v>
      </c>
      <c r="K27" s="9">
        <v>39.0</v>
      </c>
      <c r="L27" s="9">
        <v>36.0</v>
      </c>
      <c r="M27" s="9">
        <v>37.0</v>
      </c>
      <c r="N27" s="9">
        <v>48.0</v>
      </c>
      <c r="O27" s="9">
        <v>54.0</v>
      </c>
      <c r="P27" s="9">
        <f t="shared" si="1"/>
        <v>377</v>
      </c>
      <c r="Q27" s="9">
        <v>1.0</v>
      </c>
      <c r="R27" s="11">
        <f t="shared" si="2"/>
        <v>0.6032</v>
      </c>
      <c r="S27" s="9"/>
    </row>
    <row r="28" ht="15.75" customHeight="1">
      <c r="A28" s="7">
        <v>26.0</v>
      </c>
      <c r="B28" s="8">
        <v>375.0</v>
      </c>
      <c r="C28" s="9">
        <v>7618.0</v>
      </c>
      <c r="D28" s="9" t="s">
        <v>70</v>
      </c>
      <c r="E28" s="9" t="s">
        <v>71</v>
      </c>
      <c r="F28" s="10">
        <v>40239.0</v>
      </c>
      <c r="G28" s="9">
        <v>16.0</v>
      </c>
      <c r="H28" s="9">
        <v>27.0</v>
      </c>
      <c r="I28" s="9">
        <v>24.0</v>
      </c>
      <c r="J28" s="9">
        <v>2.0</v>
      </c>
      <c r="K28" s="9">
        <v>21.0</v>
      </c>
      <c r="L28" s="9">
        <v>11.0</v>
      </c>
      <c r="M28" s="9">
        <v>20.0</v>
      </c>
      <c r="N28" s="9">
        <v>7.0</v>
      </c>
      <c r="O28" s="9">
        <v>12.0</v>
      </c>
      <c r="P28" s="9">
        <f t="shared" si="1"/>
        <v>140</v>
      </c>
      <c r="Q28" s="9">
        <v>7.0</v>
      </c>
      <c r="R28" s="11">
        <f t="shared" si="2"/>
        <v>0.224</v>
      </c>
      <c r="S28" s="9" t="s">
        <v>22</v>
      </c>
    </row>
    <row r="29" ht="15.75" customHeight="1">
      <c r="A29" s="7">
        <v>27.0</v>
      </c>
      <c r="B29" s="8">
        <v>376.0</v>
      </c>
      <c r="C29" s="9">
        <v>7621.0</v>
      </c>
      <c r="D29" s="9" t="s">
        <v>72</v>
      </c>
      <c r="E29" s="9" t="s">
        <v>73</v>
      </c>
      <c r="F29" s="10">
        <v>40605.0</v>
      </c>
      <c r="G29" s="9">
        <v>37.0</v>
      </c>
      <c r="H29" s="9">
        <v>52.0</v>
      </c>
      <c r="I29" s="9">
        <v>41.0</v>
      </c>
      <c r="J29" s="9">
        <v>17.0</v>
      </c>
      <c r="K29" s="9">
        <v>37.0</v>
      </c>
      <c r="L29" s="9">
        <v>29.0</v>
      </c>
      <c r="M29" s="9">
        <v>33.0</v>
      </c>
      <c r="N29" s="9">
        <v>38.0</v>
      </c>
      <c r="O29" s="9">
        <v>56.0</v>
      </c>
      <c r="P29" s="9">
        <f t="shared" si="1"/>
        <v>340</v>
      </c>
      <c r="Q29" s="9">
        <v>1.0</v>
      </c>
      <c r="R29" s="11">
        <f t="shared" si="2"/>
        <v>0.544</v>
      </c>
      <c r="S29" s="9"/>
    </row>
    <row r="30" ht="15.75" customHeight="1">
      <c r="A30" s="7">
        <v>28.0</v>
      </c>
      <c r="B30" s="8">
        <v>377.0</v>
      </c>
      <c r="C30" s="9">
        <v>7625.0</v>
      </c>
      <c r="D30" s="9" t="s">
        <v>74</v>
      </c>
      <c r="E30" s="9" t="s">
        <v>75</v>
      </c>
      <c r="F30" s="10">
        <v>40895.0</v>
      </c>
      <c r="G30" s="9">
        <v>33.0</v>
      </c>
      <c r="H30" s="9">
        <v>58.0</v>
      </c>
      <c r="I30" s="9">
        <v>42.0</v>
      </c>
      <c r="J30" s="9">
        <v>21.0</v>
      </c>
      <c r="K30" s="9">
        <v>35.0</v>
      </c>
      <c r="L30" s="9">
        <v>42.0</v>
      </c>
      <c r="M30" s="9">
        <v>47.0</v>
      </c>
      <c r="N30" s="9">
        <v>51.0</v>
      </c>
      <c r="O30" s="9">
        <v>61.0</v>
      </c>
      <c r="P30" s="9">
        <f t="shared" si="1"/>
        <v>390</v>
      </c>
      <c r="Q30" s="9">
        <v>1.0</v>
      </c>
      <c r="R30" s="11">
        <f t="shared" si="2"/>
        <v>0.624</v>
      </c>
      <c r="S30" s="9"/>
    </row>
    <row r="31" ht="15.75" customHeight="1">
      <c r="A31" s="7">
        <v>29.0</v>
      </c>
      <c r="B31" s="8">
        <v>378.0</v>
      </c>
      <c r="C31" s="9">
        <v>7627.0</v>
      </c>
      <c r="D31" s="9" t="s">
        <v>76</v>
      </c>
      <c r="E31" s="9" t="s">
        <v>77</v>
      </c>
      <c r="F31" s="10">
        <v>40633.0</v>
      </c>
      <c r="G31" s="9">
        <v>33.0</v>
      </c>
      <c r="H31" s="9">
        <v>42.0</v>
      </c>
      <c r="I31" s="9">
        <v>33.0</v>
      </c>
      <c r="J31" s="9">
        <v>10.0</v>
      </c>
      <c r="K31" s="9">
        <v>30.0</v>
      </c>
      <c r="L31" s="9">
        <v>24.0</v>
      </c>
      <c r="M31" s="9">
        <v>20.0</v>
      </c>
      <c r="N31" s="9">
        <v>26.0</v>
      </c>
      <c r="O31" s="9">
        <v>57.0</v>
      </c>
      <c r="P31" s="9">
        <f t="shared" si="1"/>
        <v>275</v>
      </c>
      <c r="Q31" s="9">
        <v>2.0</v>
      </c>
      <c r="R31" s="11">
        <f t="shared" si="2"/>
        <v>0.44</v>
      </c>
      <c r="S31" s="9"/>
    </row>
    <row r="32" ht="15.75" customHeight="1">
      <c r="A32" s="7">
        <v>30.0</v>
      </c>
      <c r="B32" s="8">
        <v>379.0</v>
      </c>
      <c r="C32" s="9">
        <v>7628.0</v>
      </c>
      <c r="D32" s="9" t="s">
        <v>78</v>
      </c>
      <c r="E32" s="9" t="s">
        <v>79</v>
      </c>
      <c r="F32" s="10">
        <v>40565.0</v>
      </c>
      <c r="G32" s="9">
        <v>17.0</v>
      </c>
      <c r="H32" s="9">
        <v>33.0</v>
      </c>
      <c r="I32" s="9">
        <v>17.0</v>
      </c>
      <c r="J32" s="9">
        <v>12.0</v>
      </c>
      <c r="K32" s="9">
        <v>18.0</v>
      </c>
      <c r="L32" s="9">
        <v>18.0</v>
      </c>
      <c r="M32" s="9">
        <v>6.0</v>
      </c>
      <c r="N32" s="9">
        <v>11.0</v>
      </c>
      <c r="O32" s="9">
        <v>43.0</v>
      </c>
      <c r="P32" s="9">
        <f t="shared" si="1"/>
        <v>175</v>
      </c>
      <c r="Q32" s="9">
        <v>5.0</v>
      </c>
      <c r="R32" s="11">
        <f t="shared" si="2"/>
        <v>0.28</v>
      </c>
      <c r="S32" s="9"/>
    </row>
    <row r="33" ht="15.75" customHeight="1">
      <c r="A33" s="7">
        <v>31.0</v>
      </c>
      <c r="B33" s="8">
        <v>380.0</v>
      </c>
      <c r="C33" s="9">
        <v>7636.0</v>
      </c>
      <c r="D33" s="9" t="s">
        <v>80</v>
      </c>
      <c r="E33" s="9" t="s">
        <v>81</v>
      </c>
      <c r="F33" s="10">
        <v>39887.0</v>
      </c>
      <c r="G33" s="9">
        <v>25.0</v>
      </c>
      <c r="H33" s="9">
        <v>63.0</v>
      </c>
      <c r="I33" s="9">
        <v>34.0</v>
      </c>
      <c r="J33" s="9">
        <v>25.0</v>
      </c>
      <c r="K33" s="9">
        <v>31.0</v>
      </c>
      <c r="L33" s="9">
        <v>29.0</v>
      </c>
      <c r="M33" s="9">
        <v>38.0</v>
      </c>
      <c r="N33" s="9">
        <v>30.0</v>
      </c>
      <c r="O33" s="9">
        <v>55.0</v>
      </c>
      <c r="P33" s="9">
        <f t="shared" si="1"/>
        <v>330</v>
      </c>
      <c r="Q33" s="9"/>
      <c r="R33" s="11">
        <f t="shared" si="2"/>
        <v>0.528</v>
      </c>
      <c r="S33" s="9"/>
    </row>
    <row r="34" ht="15.75" customHeight="1">
      <c r="A34" s="7">
        <v>32.0</v>
      </c>
      <c r="B34" s="8">
        <v>381.0</v>
      </c>
      <c r="C34" s="9">
        <v>7641.0</v>
      </c>
      <c r="D34" s="9" t="s">
        <v>82</v>
      </c>
      <c r="E34" s="9" t="s">
        <v>83</v>
      </c>
      <c r="F34" s="10">
        <v>40428.0</v>
      </c>
      <c r="G34" s="9">
        <v>15.0</v>
      </c>
      <c r="H34" s="9">
        <v>32.0</v>
      </c>
      <c r="I34" s="9">
        <v>20.0</v>
      </c>
      <c r="J34" s="9">
        <v>8.0</v>
      </c>
      <c r="K34" s="9">
        <v>28.0</v>
      </c>
      <c r="L34" s="9">
        <v>22.0</v>
      </c>
      <c r="M34" s="9">
        <v>20.0</v>
      </c>
      <c r="N34" s="9">
        <v>8.0</v>
      </c>
      <c r="O34" s="9">
        <v>31.0</v>
      </c>
      <c r="P34" s="9">
        <f t="shared" si="1"/>
        <v>184</v>
      </c>
      <c r="Q34" s="9">
        <v>5.0</v>
      </c>
      <c r="R34" s="11">
        <f t="shared" si="2"/>
        <v>0.2944</v>
      </c>
      <c r="S34" s="9"/>
    </row>
    <row r="35" ht="15.75" customHeight="1">
      <c r="A35" s="7">
        <v>33.0</v>
      </c>
      <c r="B35" s="8">
        <v>382.0</v>
      </c>
      <c r="C35" s="9">
        <v>7648.0</v>
      </c>
      <c r="D35" s="9" t="s">
        <v>84</v>
      </c>
      <c r="E35" s="9" t="s">
        <v>85</v>
      </c>
      <c r="F35" s="10">
        <v>40633.0</v>
      </c>
      <c r="G35" s="9">
        <v>55.0</v>
      </c>
      <c r="H35" s="9">
        <v>69.0</v>
      </c>
      <c r="I35" s="9">
        <v>47.0</v>
      </c>
      <c r="J35" s="9">
        <v>65.0</v>
      </c>
      <c r="K35" s="9">
        <v>38.0</v>
      </c>
      <c r="L35" s="9">
        <v>40.0</v>
      </c>
      <c r="M35" s="9">
        <v>63.0</v>
      </c>
      <c r="N35" s="9">
        <v>59.0</v>
      </c>
      <c r="O35" s="9">
        <v>60.0</v>
      </c>
      <c r="P35" s="9">
        <f t="shared" si="1"/>
        <v>496</v>
      </c>
      <c r="Q35" s="9"/>
      <c r="R35" s="11">
        <f t="shared" si="2"/>
        <v>0.7936</v>
      </c>
      <c r="S35" s="12" t="s">
        <v>86</v>
      </c>
    </row>
    <row r="36" ht="15.75" customHeight="1">
      <c r="A36" s="7">
        <v>34.0</v>
      </c>
      <c r="B36" s="8">
        <v>383.0</v>
      </c>
      <c r="C36" s="9">
        <v>7660.0</v>
      </c>
      <c r="D36" s="9" t="s">
        <v>87</v>
      </c>
      <c r="E36" s="9" t="s">
        <v>88</v>
      </c>
      <c r="F36" s="10">
        <v>40649.0</v>
      </c>
      <c r="G36" s="9">
        <v>26.0</v>
      </c>
      <c r="H36" s="9">
        <v>39.0</v>
      </c>
      <c r="I36" s="9">
        <v>32.0</v>
      </c>
      <c r="J36" s="9">
        <v>33.0</v>
      </c>
      <c r="K36" s="9">
        <v>31.0</v>
      </c>
      <c r="L36" s="9">
        <v>26.0</v>
      </c>
      <c r="M36" s="9">
        <v>30.0</v>
      </c>
      <c r="N36" s="9">
        <v>37.0</v>
      </c>
      <c r="O36" s="9">
        <v>60.0</v>
      </c>
      <c r="P36" s="9">
        <f t="shared" si="1"/>
        <v>314</v>
      </c>
      <c r="Q36" s="9"/>
      <c r="R36" s="11">
        <f t="shared" si="2"/>
        <v>0.5024</v>
      </c>
      <c r="S36" s="9"/>
    </row>
    <row r="37" ht="15.75" customHeight="1">
      <c r="A37" s="7">
        <v>35.0</v>
      </c>
      <c r="B37" s="8">
        <v>384.0</v>
      </c>
      <c r="C37" s="9">
        <v>7662.0</v>
      </c>
      <c r="D37" s="9" t="s">
        <v>89</v>
      </c>
      <c r="E37" s="9" t="s">
        <v>90</v>
      </c>
      <c r="F37" s="10">
        <v>40969.0</v>
      </c>
      <c r="G37" s="9">
        <v>19.0</v>
      </c>
      <c r="H37" s="9">
        <v>31.0</v>
      </c>
      <c r="I37" s="9">
        <v>17.0</v>
      </c>
      <c r="J37" s="9">
        <v>30.0</v>
      </c>
      <c r="K37" s="9">
        <v>27.0</v>
      </c>
      <c r="L37" s="9">
        <v>27.0</v>
      </c>
      <c r="M37" s="9">
        <v>15.0</v>
      </c>
      <c r="N37" s="9">
        <v>18.0</v>
      </c>
      <c r="O37" s="9">
        <v>34.0</v>
      </c>
      <c r="P37" s="9">
        <f t="shared" si="1"/>
        <v>218</v>
      </c>
      <c r="Q37" s="9">
        <v>4.0</v>
      </c>
      <c r="R37" s="11">
        <f t="shared" si="2"/>
        <v>0.3488</v>
      </c>
      <c r="S37" s="9"/>
    </row>
    <row r="38" ht="15.75" customHeight="1">
      <c r="A38" s="7">
        <v>36.0</v>
      </c>
      <c r="B38" s="8">
        <v>385.0</v>
      </c>
      <c r="C38" s="9">
        <v>7512.0</v>
      </c>
      <c r="D38" s="9" t="s">
        <v>47</v>
      </c>
      <c r="E38" s="9" t="s">
        <v>71</v>
      </c>
      <c r="F38" s="10">
        <v>40579.0</v>
      </c>
      <c r="G38" s="9">
        <v>15.0</v>
      </c>
      <c r="H38" s="9">
        <v>40.0</v>
      </c>
      <c r="I38" s="9">
        <v>31.0</v>
      </c>
      <c r="J38" s="9">
        <v>28.0</v>
      </c>
      <c r="K38" s="9">
        <v>18.0</v>
      </c>
      <c r="L38" s="9">
        <v>20.0</v>
      </c>
      <c r="M38" s="9">
        <v>11.0</v>
      </c>
      <c r="N38" s="9">
        <v>33.0</v>
      </c>
      <c r="O38" s="9">
        <v>25.0</v>
      </c>
      <c r="P38" s="9">
        <f t="shared" si="1"/>
        <v>221</v>
      </c>
      <c r="Q38" s="9">
        <v>2.0</v>
      </c>
      <c r="R38" s="11">
        <f t="shared" si="2"/>
        <v>0.3536</v>
      </c>
      <c r="S38" s="9"/>
    </row>
    <row r="39" ht="15.75" customHeight="1">
      <c r="A39" s="7">
        <v>37.0</v>
      </c>
      <c r="B39" s="8">
        <v>386.0</v>
      </c>
      <c r="C39" s="9">
        <v>7769.0</v>
      </c>
      <c r="D39" s="9" t="s">
        <v>91</v>
      </c>
      <c r="E39" s="9" t="s">
        <v>92</v>
      </c>
      <c r="F39" s="10">
        <v>40612.0</v>
      </c>
      <c r="G39" s="9">
        <v>19.0</v>
      </c>
      <c r="H39" s="9">
        <v>13.0</v>
      </c>
      <c r="I39" s="9">
        <v>13.0</v>
      </c>
      <c r="J39" s="9">
        <v>25.0</v>
      </c>
      <c r="K39" s="9">
        <v>26.0</v>
      </c>
      <c r="L39" s="9">
        <v>18.0</v>
      </c>
      <c r="M39" s="9">
        <v>3.0</v>
      </c>
      <c r="N39" s="9">
        <v>11.0</v>
      </c>
      <c r="O39" s="9">
        <v>25.0</v>
      </c>
      <c r="P39" s="9">
        <f t="shared" si="1"/>
        <v>153</v>
      </c>
      <c r="Q39" s="9">
        <v>5.0</v>
      </c>
      <c r="R39" s="11">
        <f t="shared" si="2"/>
        <v>0.2448</v>
      </c>
      <c r="S39" s="9"/>
    </row>
    <row r="40" ht="15.75" customHeight="1">
      <c r="A40" s="7">
        <v>38.0</v>
      </c>
      <c r="B40" s="8">
        <v>387.0</v>
      </c>
      <c r="C40" s="9">
        <v>7772.0</v>
      </c>
      <c r="D40" s="9" t="s">
        <v>93</v>
      </c>
      <c r="E40" s="9" t="s">
        <v>94</v>
      </c>
      <c r="F40" s="10">
        <v>40978.0</v>
      </c>
      <c r="G40" s="9">
        <v>33.0</v>
      </c>
      <c r="H40" s="9">
        <v>58.0</v>
      </c>
      <c r="I40" s="9">
        <v>26.0</v>
      </c>
      <c r="J40" s="9">
        <v>17.0</v>
      </c>
      <c r="K40" s="9">
        <v>33.0</v>
      </c>
      <c r="L40" s="9">
        <v>34.0</v>
      </c>
      <c r="M40" s="9">
        <v>34.0</v>
      </c>
      <c r="N40" s="9">
        <v>44.0</v>
      </c>
      <c r="O40" s="9">
        <v>52.0</v>
      </c>
      <c r="P40" s="9">
        <f t="shared" si="1"/>
        <v>331</v>
      </c>
      <c r="Q40" s="9">
        <v>1.0</v>
      </c>
      <c r="R40" s="11">
        <f t="shared" si="2"/>
        <v>0.5296</v>
      </c>
      <c r="S40" s="9"/>
    </row>
    <row r="41" ht="15.75" customHeight="1">
      <c r="A41" s="7">
        <v>39.0</v>
      </c>
      <c r="B41" s="8">
        <v>388.0</v>
      </c>
      <c r="C41" s="9">
        <v>7763.0</v>
      </c>
      <c r="D41" s="9" t="s">
        <v>95</v>
      </c>
      <c r="E41" s="9" t="s">
        <v>96</v>
      </c>
      <c r="F41" s="10">
        <v>40627.0</v>
      </c>
      <c r="G41" s="9">
        <v>30.0</v>
      </c>
      <c r="H41" s="9">
        <v>45.0</v>
      </c>
      <c r="I41" s="9">
        <v>29.0</v>
      </c>
      <c r="J41" s="9">
        <v>30.0</v>
      </c>
      <c r="K41" s="9">
        <v>28.0</v>
      </c>
      <c r="L41" s="9">
        <v>32.0</v>
      </c>
      <c r="M41" s="9">
        <v>30.0</v>
      </c>
      <c r="N41" s="9">
        <v>25.0</v>
      </c>
      <c r="O41" s="9">
        <v>57.0</v>
      </c>
      <c r="P41" s="9">
        <f t="shared" si="1"/>
        <v>306</v>
      </c>
      <c r="Q41" s="9"/>
      <c r="R41" s="11">
        <f t="shared" si="2"/>
        <v>0.4896</v>
      </c>
      <c r="S41" s="9"/>
    </row>
    <row r="42" ht="15.75" customHeight="1">
      <c r="A42" s="7">
        <v>40.0</v>
      </c>
      <c r="B42" s="8">
        <v>389.0</v>
      </c>
      <c r="C42" s="9">
        <v>7803.0</v>
      </c>
      <c r="D42" s="9" t="s">
        <v>97</v>
      </c>
      <c r="E42" s="9" t="s">
        <v>98</v>
      </c>
      <c r="F42" s="10">
        <v>40578.0</v>
      </c>
      <c r="G42" s="9">
        <v>27.0</v>
      </c>
      <c r="H42" s="9">
        <v>26.0</v>
      </c>
      <c r="I42" s="9">
        <v>33.0</v>
      </c>
      <c r="J42" s="9">
        <v>12.0</v>
      </c>
      <c r="K42" s="9">
        <v>26.0</v>
      </c>
      <c r="L42" s="9">
        <v>26.0</v>
      </c>
      <c r="M42" s="9">
        <v>33.0</v>
      </c>
      <c r="N42" s="9">
        <v>11.0</v>
      </c>
      <c r="O42" s="9">
        <v>39.0</v>
      </c>
      <c r="P42" s="9">
        <f t="shared" si="1"/>
        <v>233</v>
      </c>
      <c r="Q42" s="9">
        <v>2.0</v>
      </c>
      <c r="R42" s="11">
        <f t="shared" si="2"/>
        <v>0.3728</v>
      </c>
      <c r="S42" s="9"/>
    </row>
    <row r="43" ht="15.75" customHeight="1">
      <c r="A43" s="7">
        <v>41.0</v>
      </c>
      <c r="B43" s="8">
        <v>390.0</v>
      </c>
      <c r="C43" s="9">
        <v>7916.0</v>
      </c>
      <c r="D43" s="9" t="s">
        <v>99</v>
      </c>
      <c r="E43" s="9" t="s">
        <v>100</v>
      </c>
      <c r="F43" s="10">
        <v>40156.0</v>
      </c>
      <c r="G43" s="9">
        <v>16.0</v>
      </c>
      <c r="H43" s="9">
        <v>7.0</v>
      </c>
      <c r="I43" s="9">
        <v>26.0</v>
      </c>
      <c r="J43" s="9">
        <v>7.0</v>
      </c>
      <c r="K43" s="9">
        <v>17.0</v>
      </c>
      <c r="L43" s="9">
        <v>19.0</v>
      </c>
      <c r="M43" s="9">
        <v>3.0</v>
      </c>
      <c r="N43" s="9">
        <v>3.0</v>
      </c>
      <c r="O43" s="9">
        <v>27.0</v>
      </c>
      <c r="P43" s="9">
        <f t="shared" si="1"/>
        <v>125</v>
      </c>
      <c r="Q43" s="9">
        <v>5.0</v>
      </c>
      <c r="R43" s="11">
        <f t="shared" si="2"/>
        <v>0.2</v>
      </c>
      <c r="S43" s="9"/>
    </row>
    <row r="44" ht="15.75" customHeight="1">
      <c r="A44" s="7">
        <v>42.0</v>
      </c>
      <c r="B44" s="8">
        <v>391.0</v>
      </c>
      <c r="C44" s="9">
        <v>7917.0</v>
      </c>
      <c r="D44" s="9" t="s">
        <v>101</v>
      </c>
      <c r="E44" s="9" t="s">
        <v>102</v>
      </c>
      <c r="F44" s="10" t="s">
        <v>103</v>
      </c>
      <c r="G44" s="9">
        <v>20.0</v>
      </c>
      <c r="H44" s="9">
        <v>35.0</v>
      </c>
      <c r="I44" s="9">
        <v>61.0</v>
      </c>
      <c r="J44" s="9">
        <v>21.0</v>
      </c>
      <c r="K44" s="9">
        <v>9.0</v>
      </c>
      <c r="L44" s="9">
        <v>18.0</v>
      </c>
      <c r="M44" s="9">
        <v>20.0</v>
      </c>
      <c r="N44" s="9">
        <v>33.0</v>
      </c>
      <c r="O44" s="9">
        <v>28.0</v>
      </c>
      <c r="P44" s="9">
        <f t="shared" si="1"/>
        <v>245</v>
      </c>
      <c r="Q44" s="9">
        <v>4.0</v>
      </c>
      <c r="R44" s="11">
        <f t="shared" si="2"/>
        <v>0.392</v>
      </c>
      <c r="S44" s="9"/>
    </row>
    <row r="45" ht="15.75" customHeight="1">
      <c r="A45" s="7">
        <v>43.0</v>
      </c>
      <c r="B45" s="8">
        <v>392.0</v>
      </c>
      <c r="C45" s="9">
        <v>7469.0</v>
      </c>
      <c r="D45" s="9" t="s">
        <v>104</v>
      </c>
      <c r="E45" s="9" t="s">
        <v>105</v>
      </c>
      <c r="F45" s="10" t="s">
        <v>106</v>
      </c>
      <c r="G45" s="9">
        <v>10.0</v>
      </c>
      <c r="H45" s="9">
        <v>29.0</v>
      </c>
      <c r="I45" s="9">
        <v>9.0</v>
      </c>
      <c r="J45" s="9">
        <v>7.0</v>
      </c>
      <c r="K45" s="9">
        <v>22.0</v>
      </c>
      <c r="L45" s="9">
        <v>18.0</v>
      </c>
      <c r="M45" s="9">
        <v>25.0</v>
      </c>
      <c r="N45" s="9">
        <v>7.0</v>
      </c>
      <c r="O45" s="9">
        <v>19.0</v>
      </c>
      <c r="P45" s="9">
        <f t="shared" si="1"/>
        <v>146</v>
      </c>
      <c r="Q45" s="9">
        <v>5.0</v>
      </c>
      <c r="R45" s="11">
        <f t="shared" si="2"/>
        <v>0.2336</v>
      </c>
      <c r="S45" s="9"/>
    </row>
    <row r="46" ht="15.75" customHeight="1">
      <c r="A46" s="7">
        <v>44.0</v>
      </c>
      <c r="B46" s="8">
        <v>393.0</v>
      </c>
      <c r="C46" s="9">
        <v>7924.0</v>
      </c>
      <c r="D46" s="9" t="s">
        <v>107</v>
      </c>
      <c r="E46" s="9" t="s">
        <v>108</v>
      </c>
      <c r="F46" s="10">
        <v>41063.0</v>
      </c>
      <c r="G46" s="9">
        <v>10.0</v>
      </c>
      <c r="H46" s="9">
        <v>33.0</v>
      </c>
      <c r="I46" s="9">
        <v>6.0</v>
      </c>
      <c r="J46" s="9">
        <v>10.0</v>
      </c>
      <c r="K46" s="9">
        <v>29.0</v>
      </c>
      <c r="L46" s="9">
        <v>21.0</v>
      </c>
      <c r="M46" s="9">
        <v>12.0</v>
      </c>
      <c r="N46" s="9">
        <v>25.0</v>
      </c>
      <c r="O46" s="9">
        <v>42.0</v>
      </c>
      <c r="P46" s="9">
        <f t="shared" si="1"/>
        <v>188</v>
      </c>
      <c r="Q46" s="9">
        <v>4.0</v>
      </c>
      <c r="R46" s="11">
        <f t="shared" si="2"/>
        <v>0.3008</v>
      </c>
      <c r="S46" s="9"/>
    </row>
    <row r="47" ht="15.75" customHeight="1">
      <c r="A47" s="7">
        <v>45.0</v>
      </c>
      <c r="B47" s="8">
        <v>394.0</v>
      </c>
      <c r="C47" s="9">
        <v>7919.0</v>
      </c>
      <c r="D47" s="9" t="s">
        <v>109</v>
      </c>
      <c r="E47" s="9" t="s">
        <v>110</v>
      </c>
      <c r="F47" s="10" t="s">
        <v>111</v>
      </c>
      <c r="G47" s="9">
        <v>12.0</v>
      </c>
      <c r="H47" s="9">
        <v>22.0</v>
      </c>
      <c r="I47" s="9">
        <v>11.0</v>
      </c>
      <c r="J47" s="9">
        <v>7.0</v>
      </c>
      <c r="K47" s="9">
        <v>24.0</v>
      </c>
      <c r="L47" s="9">
        <v>13.0</v>
      </c>
      <c r="M47" s="9">
        <v>20.0</v>
      </c>
      <c r="N47" s="9">
        <v>17.0</v>
      </c>
      <c r="O47" s="9">
        <v>39.0</v>
      </c>
      <c r="P47" s="9">
        <f t="shared" si="1"/>
        <v>165</v>
      </c>
      <c r="Q47" s="9">
        <v>7.0</v>
      </c>
      <c r="R47" s="11">
        <f t="shared" si="2"/>
        <v>0.264</v>
      </c>
      <c r="S47" s="9" t="s">
        <v>22</v>
      </c>
    </row>
    <row r="48" ht="15.75" customHeight="1">
      <c r="A48" s="7">
        <v>46.0</v>
      </c>
      <c r="B48" s="8">
        <v>395.0</v>
      </c>
      <c r="C48" s="9">
        <v>7918.0</v>
      </c>
      <c r="D48" s="9" t="s">
        <v>112</v>
      </c>
      <c r="E48" s="9" t="s">
        <v>113</v>
      </c>
      <c r="F48" s="10">
        <v>40301.0</v>
      </c>
      <c r="G48" s="9">
        <v>22.0</v>
      </c>
      <c r="H48" s="9">
        <v>49.0</v>
      </c>
      <c r="I48" s="9">
        <v>61.0</v>
      </c>
      <c r="J48" s="9">
        <v>19.0</v>
      </c>
      <c r="K48" s="9">
        <v>28.0</v>
      </c>
      <c r="L48" s="9">
        <v>23.0</v>
      </c>
      <c r="M48" s="9">
        <v>12.0</v>
      </c>
      <c r="N48" s="9">
        <v>23.0</v>
      </c>
      <c r="O48" s="9">
        <v>56.0</v>
      </c>
      <c r="P48" s="9">
        <f t="shared" si="1"/>
        <v>293</v>
      </c>
      <c r="Q48" s="9">
        <v>4.0</v>
      </c>
      <c r="R48" s="11">
        <f t="shared" si="2"/>
        <v>0.4688</v>
      </c>
      <c r="S48" s="9"/>
    </row>
    <row r="49" ht="15.75" customHeight="1">
      <c r="A49" s="7">
        <v>47.0</v>
      </c>
      <c r="B49" s="8">
        <v>396.0</v>
      </c>
      <c r="C49" s="9">
        <v>7920.0</v>
      </c>
      <c r="D49" s="9" t="s">
        <v>89</v>
      </c>
      <c r="E49" s="9" t="s">
        <v>114</v>
      </c>
      <c r="F49" s="10">
        <v>40431.0</v>
      </c>
      <c r="G49" s="9">
        <v>11.0</v>
      </c>
      <c r="H49" s="9">
        <v>29.0</v>
      </c>
      <c r="I49" s="9">
        <v>39.0</v>
      </c>
      <c r="J49" s="9">
        <v>3.0</v>
      </c>
      <c r="K49" s="9">
        <v>27.0</v>
      </c>
      <c r="L49" s="9">
        <v>21.0</v>
      </c>
      <c r="M49" s="9">
        <v>8.0</v>
      </c>
      <c r="N49" s="9">
        <v>4.0</v>
      </c>
      <c r="O49" s="9">
        <v>31.0</v>
      </c>
      <c r="P49" s="9">
        <f t="shared" si="1"/>
        <v>173</v>
      </c>
      <c r="Q49" s="9">
        <v>4.0</v>
      </c>
      <c r="R49" s="11">
        <f t="shared" si="2"/>
        <v>0.2768</v>
      </c>
      <c r="S49" s="9"/>
    </row>
    <row r="50" ht="15.75" customHeight="1">
      <c r="A50" s="7">
        <v>48.0</v>
      </c>
      <c r="B50" s="8">
        <v>397.0</v>
      </c>
      <c r="C50" s="9">
        <v>7649.0</v>
      </c>
      <c r="D50" s="9" t="s">
        <v>115</v>
      </c>
      <c r="E50" s="9" t="s">
        <v>116</v>
      </c>
      <c r="F50" s="10">
        <v>40604.0</v>
      </c>
      <c r="G50" s="9">
        <v>11.0</v>
      </c>
      <c r="H50" s="9">
        <v>28.0</v>
      </c>
      <c r="I50" s="9">
        <v>36.0</v>
      </c>
      <c r="J50" s="9">
        <v>9.0</v>
      </c>
      <c r="K50" s="9">
        <v>28.0</v>
      </c>
      <c r="L50" s="9">
        <v>14.0</v>
      </c>
      <c r="M50" s="9">
        <v>11.0</v>
      </c>
      <c r="N50" s="9">
        <v>4.0</v>
      </c>
      <c r="O50" s="9">
        <v>40.0</v>
      </c>
      <c r="P50" s="9">
        <f t="shared" si="1"/>
        <v>181</v>
      </c>
      <c r="Q50" s="9">
        <v>5.0</v>
      </c>
      <c r="R50" s="11">
        <f t="shared" si="2"/>
        <v>0.2896</v>
      </c>
      <c r="S50" s="9"/>
    </row>
    <row r="51" ht="15.75" customHeight="1">
      <c r="A51" s="7">
        <v>49.0</v>
      </c>
      <c r="B51" s="8">
        <v>398.0</v>
      </c>
      <c r="C51" s="9">
        <v>7620.0</v>
      </c>
      <c r="D51" s="9" t="s">
        <v>117</v>
      </c>
      <c r="E51" s="9" t="s">
        <v>118</v>
      </c>
      <c r="F51" s="10">
        <v>39575.0</v>
      </c>
      <c r="G51" s="9">
        <v>5.0</v>
      </c>
      <c r="H51" s="9">
        <v>21.0</v>
      </c>
      <c r="I51" s="9">
        <v>24.0</v>
      </c>
      <c r="J51" s="9">
        <v>10.0</v>
      </c>
      <c r="K51" s="9">
        <v>18.0</v>
      </c>
      <c r="L51" s="9">
        <v>23.0</v>
      </c>
      <c r="M51" s="9">
        <v>15.0</v>
      </c>
      <c r="N51" s="9">
        <v>5.0</v>
      </c>
      <c r="O51" s="9">
        <v>34.0</v>
      </c>
      <c r="P51" s="9">
        <f t="shared" si="1"/>
        <v>155</v>
      </c>
      <c r="Q51" s="9">
        <v>6.0</v>
      </c>
      <c r="R51" s="11">
        <f t="shared" si="2"/>
        <v>0.248</v>
      </c>
      <c r="S51" s="9" t="s">
        <v>22</v>
      </c>
    </row>
    <row r="52" ht="15.75" customHeight="1">
      <c r="A52" s="7">
        <v>50.0</v>
      </c>
      <c r="B52" s="8">
        <v>399.0</v>
      </c>
      <c r="C52" s="9">
        <v>7927.0</v>
      </c>
      <c r="D52" s="9" t="s">
        <v>119</v>
      </c>
      <c r="E52" s="9" t="s">
        <v>120</v>
      </c>
      <c r="F52" s="10">
        <v>40578.0</v>
      </c>
      <c r="G52" s="9">
        <v>14.0</v>
      </c>
      <c r="H52" s="9">
        <v>30.0</v>
      </c>
      <c r="I52" s="9">
        <v>26.0</v>
      </c>
      <c r="J52" s="9">
        <v>8.0</v>
      </c>
      <c r="K52" s="9">
        <v>21.0</v>
      </c>
      <c r="L52" s="9">
        <v>18.0</v>
      </c>
      <c r="M52" s="9">
        <v>8.0</v>
      </c>
      <c r="N52" s="9">
        <v>17.0</v>
      </c>
      <c r="O52" s="9">
        <v>19.0</v>
      </c>
      <c r="P52" s="9">
        <f t="shared" si="1"/>
        <v>161</v>
      </c>
      <c r="Q52" s="9">
        <v>5.0</v>
      </c>
      <c r="R52" s="11">
        <f t="shared" si="2"/>
        <v>0.2576</v>
      </c>
      <c r="S52" s="9"/>
    </row>
    <row r="53" ht="15.75" customHeight="1">
      <c r="A53" s="7">
        <v>51.0</v>
      </c>
      <c r="B53" s="8">
        <v>400.0</v>
      </c>
      <c r="C53" s="9">
        <v>7926.0</v>
      </c>
      <c r="D53" s="9" t="s">
        <v>121</v>
      </c>
      <c r="E53" s="9" t="s">
        <v>122</v>
      </c>
      <c r="F53" s="10">
        <v>41191.0</v>
      </c>
      <c r="G53" s="9">
        <v>38.0</v>
      </c>
      <c r="H53" s="9">
        <v>46.0</v>
      </c>
      <c r="I53" s="9">
        <v>58.0</v>
      </c>
      <c r="J53" s="9">
        <v>17.0</v>
      </c>
      <c r="K53" s="9">
        <v>25.0</v>
      </c>
      <c r="L53" s="9">
        <v>21.0</v>
      </c>
      <c r="M53" s="9">
        <v>41.0</v>
      </c>
      <c r="N53" s="9">
        <v>29.0</v>
      </c>
      <c r="O53" s="9">
        <v>39.0</v>
      </c>
      <c r="P53" s="9">
        <f t="shared" si="1"/>
        <v>314</v>
      </c>
      <c r="Q53" s="9">
        <v>1.0</v>
      </c>
      <c r="R53" s="11">
        <f t="shared" si="2"/>
        <v>0.5024</v>
      </c>
      <c r="S53" s="9"/>
    </row>
    <row r="54" ht="15.75" customHeight="1">
      <c r="A54" s="7">
        <v>52.0</v>
      </c>
      <c r="B54" s="8">
        <v>401.0</v>
      </c>
      <c r="C54" s="9">
        <v>7931.0</v>
      </c>
      <c r="D54" s="9" t="s">
        <v>123</v>
      </c>
      <c r="E54" s="9" t="s">
        <v>124</v>
      </c>
      <c r="F54" s="10">
        <v>40576.0</v>
      </c>
      <c r="G54" s="9">
        <v>72.0</v>
      </c>
      <c r="H54" s="9">
        <v>74.0</v>
      </c>
      <c r="I54" s="9">
        <v>60.0</v>
      </c>
      <c r="J54" s="9">
        <v>56.0</v>
      </c>
      <c r="K54" s="9">
        <v>37.0</v>
      </c>
      <c r="L54" s="9">
        <v>37.0</v>
      </c>
      <c r="M54" s="9">
        <v>50.0</v>
      </c>
      <c r="N54" s="9">
        <v>63.0</v>
      </c>
      <c r="O54" s="9">
        <v>69.0</v>
      </c>
      <c r="P54" s="9">
        <f t="shared" si="1"/>
        <v>518</v>
      </c>
      <c r="Q54" s="9"/>
      <c r="R54" s="11">
        <f t="shared" si="2"/>
        <v>0.8288</v>
      </c>
      <c r="S54" s="12" t="s">
        <v>125</v>
      </c>
    </row>
    <row r="55" ht="15.75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ht="15.75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ht="60.0" customHeight="1">
      <c r="A57" s="14"/>
      <c r="B57" s="13"/>
      <c r="C57" s="13"/>
      <c r="D57" s="13"/>
      <c r="E57" s="15" t="s">
        <v>126</v>
      </c>
      <c r="I57" s="15">
        <v>44.0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ht="15.0" customHeight="1">
      <c r="A58" s="14"/>
      <c r="B58" s="13"/>
      <c r="C58" s="13"/>
      <c r="D58" s="13"/>
      <c r="E58" s="15" t="s">
        <v>127</v>
      </c>
      <c r="I58" s="15">
        <f>I57-I59</f>
        <v>40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20.25" customHeight="1">
      <c r="A59" s="14"/>
      <c r="B59" s="13"/>
      <c r="C59" s="13"/>
      <c r="D59" s="13"/>
      <c r="E59" s="15" t="s">
        <v>128</v>
      </c>
      <c r="I59" s="15">
        <v>4.0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4"/>
      <c r="B60" s="13"/>
      <c r="C60" s="13"/>
      <c r="D60" s="13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ht="15.75" customHeight="1">
      <c r="A61" s="14"/>
      <c r="B61" s="13"/>
      <c r="C61" s="13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ht="15.75" customHeight="1">
      <c r="A62" s="14"/>
      <c r="B62" s="13"/>
      <c r="C62" s="13"/>
      <c r="D62" s="13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ht="15.0" customHeight="1">
      <c r="A63" s="13"/>
      <c r="B63" s="13"/>
      <c r="C63" s="13"/>
      <c r="D63" s="13"/>
      <c r="E63" s="13"/>
      <c r="F63" s="14"/>
      <c r="G63" s="14"/>
      <c r="H63" s="14"/>
      <c r="I63" s="14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 t="s">
        <v>129</v>
      </c>
      <c r="D64" s="13"/>
      <c r="E64" s="16" t="s">
        <v>130</v>
      </c>
      <c r="G64" s="13"/>
      <c r="H64" s="13"/>
      <c r="I64" s="13"/>
      <c r="J64" s="13"/>
      <c r="K64" s="13"/>
      <c r="L64" s="13"/>
      <c r="M64" s="13" t="s">
        <v>131</v>
      </c>
      <c r="P64" s="13"/>
      <c r="Q64" s="13"/>
      <c r="R64" s="13"/>
      <c r="S64" s="13"/>
    </row>
    <row r="65" ht="15.75" customHeight="1">
      <c r="A65" s="17" t="s">
        <v>132</v>
      </c>
      <c r="D65" s="13"/>
      <c r="E65" s="18" t="s">
        <v>133</v>
      </c>
      <c r="G65" s="13"/>
      <c r="H65" s="13"/>
      <c r="I65" s="13"/>
      <c r="J65" s="13"/>
      <c r="K65" s="13"/>
      <c r="L65" s="13"/>
      <c r="M65" s="17" t="s">
        <v>134</v>
      </c>
      <c r="P65" s="13"/>
      <c r="Q65" s="13"/>
      <c r="R65" s="13"/>
      <c r="S65" s="13"/>
    </row>
    <row r="66" ht="15.75" customHeight="1"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ht="15.75" customHeight="1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ht="15.75" customHeight="1"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ht="15.75" customHeight="1"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ht="15.75" customHeight="1"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ht="15.75" customHeight="1"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5.75" customHeight="1"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ht="15.75" customHeight="1"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ht="15.75" customHeight="1"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ht="15.75" customHeight="1"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ht="15.75" customHeight="1"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ht="15.75" customHeight="1"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ht="15.75" customHeight="1"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ht="15.75" customHeight="1"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ht="15.75" customHeight="1"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ht="15.75" customHeight="1"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t="15.75" customHeight="1"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t="15.75" customHeight="1"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ht="15.75" customHeight="1"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ht="15.75" customHeight="1"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ht="15.75" customHeight="1"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ht="15.75" customHeight="1"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5.75" customHeight="1"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5.75" customHeight="1"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ht="15.75" customHeight="1"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5.75" customHeight="1"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5.75" customHeight="1"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5.75" customHeight="1"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ht="15.75" customHeight="1"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ht="15.75" customHeight="1"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ht="15.75" customHeight="1"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ht="15.75" customHeight="1"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ht="15.75" customHeight="1"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ht="15.75" customHeight="1"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ht="15.75" customHeight="1"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ht="15.75" customHeight="1"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ht="15.75" customHeight="1"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ht="15.75" customHeight="1"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ht="15.75" customHeight="1"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ht="15.75" customHeight="1"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ht="15.75" customHeight="1"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ht="15.75" customHeight="1"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ht="15.75" customHeight="1"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ht="15.75" customHeight="1"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ht="15.75" customHeight="1"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ht="15.75" customHeight="1"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ht="15.75" customHeight="1"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ht="15.75" customHeight="1"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ht="15.75" customHeight="1"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ht="15.75" customHeight="1"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ht="15.75" customHeight="1"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ht="15.75" customHeight="1"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ht="15.75" customHeight="1"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ht="15.75" customHeight="1"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5.75" customHeight="1"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ht="15.75" customHeight="1"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ht="15.75" customHeight="1"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ht="15.75" customHeight="1"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ht="15.75" customHeight="1"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ht="15.75" customHeight="1"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ht="15.75" customHeight="1"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ht="15.75" customHeight="1"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ht="15.75" customHeight="1"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ht="15.75" customHeight="1"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ht="15.75" customHeight="1"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ht="15.75" customHeight="1"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ht="15.75" customHeight="1"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ht="15.75" customHeight="1"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ht="15.75" customHeight="1"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ht="15.75" customHeight="1"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ht="15.75" customHeight="1"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ht="15.75" customHeight="1"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ht="15.75" customHeight="1"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ht="15.75" customHeight="1"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ht="15.75" customHeight="1"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ht="15.75" customHeight="1"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ht="15.75" customHeight="1"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ht="15.75" customHeight="1"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ht="15.75" customHeight="1"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ht="15.75" customHeight="1"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ht="15.75" customHeight="1"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ht="15.75" customHeight="1"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ht="15.75" customHeight="1"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ht="15.75" customHeight="1"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ht="15.75" customHeight="1"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ht="15.75" customHeight="1"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ht="15.75" customHeight="1"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ht="15.75" customHeight="1"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ht="15.75" customHeight="1"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ht="15.75" customHeight="1"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ht="15.75" customHeight="1"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ht="15.75" customHeight="1"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ht="15.75" customHeight="1"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ht="15.75" customHeight="1"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ht="15.75" customHeight="1"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ht="15.75" customHeight="1"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ht="15.75" customHeight="1"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ht="15.75" customHeight="1"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ht="15.75" customHeight="1"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ht="15.75" customHeight="1"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ht="15.75" customHeight="1"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ht="15.75" customHeight="1"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ht="15.75" customHeight="1"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ht="15.75" customHeight="1"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ht="15.75" customHeight="1"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ht="15.75" customHeight="1"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ht="15.75" customHeight="1"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ht="15.75" customHeight="1"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ht="15.75" customHeight="1"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ht="15.75" customHeight="1"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ht="15.75" customHeight="1"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ht="15.75" customHeight="1"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ht="15.75" customHeight="1"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ht="15.75" customHeight="1"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ht="15.75" customHeight="1"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ht="15.75" customHeight="1"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ht="15.75" customHeight="1"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ht="15.75" customHeight="1"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ht="15.75" customHeight="1"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ht="15.75" customHeight="1"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ht="15.75" customHeight="1"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ht="15.75" customHeight="1"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ht="15.75" customHeight="1"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ht="15.75" customHeight="1"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ht="15.75" customHeight="1"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ht="15.75" customHeight="1"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ht="15.75" customHeight="1"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ht="15.75" customHeight="1"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ht="15.75" customHeight="1"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ht="15.75" customHeight="1"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ht="15.75" customHeight="1"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ht="15.75" customHeight="1"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ht="15.75" customHeight="1"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ht="15.75" customHeight="1"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ht="15.75" customHeight="1"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ht="15.75" customHeight="1"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ht="15.75" customHeight="1"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ht="15.75" customHeight="1"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ht="15.75" customHeight="1"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ht="15.75" customHeight="1"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ht="15.75" customHeight="1"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ht="15.75" customHeight="1"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ht="15.75" customHeight="1"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ht="15.75" customHeight="1"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ht="15.75" customHeight="1"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ht="15.75" customHeight="1"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ht="15.75" customHeight="1"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ht="15.75" customHeight="1"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ht="15.75" customHeight="1"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ht="15.75" customHeight="1"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ht="15.75" customHeight="1"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ht="15.75" customHeight="1"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ht="15.75" customHeight="1"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ht="15.75" customHeight="1"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ht="15.75" customHeight="1"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ht="15.75" customHeight="1"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ht="15.75" customHeight="1"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ht="15.75" customHeight="1"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ht="15.75" customHeight="1"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ht="15.75" customHeight="1"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ht="15.75" customHeight="1"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ht="15.75" customHeight="1"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ht="15.75" customHeight="1"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ht="15.75" customHeight="1"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ht="15.75" customHeight="1"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ht="15.75" customHeight="1"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ht="15.75" customHeight="1"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ht="15.75" customHeight="1"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ht="15.75" customHeight="1"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ht="15.75" customHeight="1"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ht="15.75" customHeight="1"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ht="15.75" customHeight="1"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ht="15.75" customHeight="1"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ht="15.75" customHeight="1"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ht="15.75" customHeight="1"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ht="15.75" customHeight="1"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ht="15.75" customHeight="1"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ht="15.75" customHeight="1"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ht="15.75" customHeight="1"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ht="15.75" customHeight="1"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ht="15.75" customHeight="1"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ht="15.75" customHeight="1"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ht="15.75" customHeight="1"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ht="15.75" customHeight="1"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ht="15.75" customHeight="1"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ht="15.75" customHeight="1"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ht="15.75" customHeight="1"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ht="15.75" customHeight="1"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ht="15.75" customHeight="1"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ht="15.75" customHeight="1"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ht="15.75" customHeight="1"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ht="15.75" customHeight="1"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ht="15.75" customHeight="1"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ht="15.75" customHeight="1"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ht="15.75" customHeight="1"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ht="15.75" customHeight="1"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ht="15.75" customHeight="1"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ht="15.75" customHeight="1"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ht="15.75" customHeight="1"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ht="15.75" customHeight="1"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ht="15.75" customHeight="1"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ht="15.75" customHeight="1"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ht="15.75" customHeight="1"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ht="15.75" customHeight="1"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ht="15.75" customHeight="1"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ht="15.75" customHeight="1"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ht="15.75" customHeight="1"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ht="15.75" customHeight="1"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ht="15.75" customHeight="1"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ht="15.75" customHeight="1"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ht="15.75" customHeight="1"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ht="15.75" customHeight="1"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ht="15.75" customHeight="1"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ht="15.75" customHeight="1"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ht="15.75" customHeight="1"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ht="15.75" customHeight="1"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ht="15.75" customHeight="1"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ht="15.75" customHeight="1"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ht="15.75" customHeight="1"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ht="15.75" customHeight="1"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ht="15.75" customHeight="1"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ht="15.75" customHeight="1"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ht="15.75" customHeight="1"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ht="15.75" customHeight="1"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ht="15.75" customHeight="1"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ht="15.75" customHeight="1"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ht="15.75" customHeight="1"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ht="15.75" customHeight="1"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ht="15.75" customHeight="1"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ht="15.75" customHeight="1"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ht="15.75" customHeight="1"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ht="15.75" customHeight="1"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ht="15.75" customHeight="1"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ht="15.75" customHeight="1"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ht="15.75" customHeight="1"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ht="15.75" customHeight="1"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ht="15.75" customHeight="1"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ht="15.75" customHeight="1"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ht="15.75" customHeight="1"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ht="15.75" customHeight="1"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ht="15.75" customHeight="1"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ht="15.75" customHeight="1"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ht="15.75" customHeight="1"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ht="15.75" customHeight="1"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ht="15.75" customHeight="1"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ht="15.75" customHeight="1"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ht="15.75" customHeight="1"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ht="15.75" customHeight="1"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ht="15.75" customHeight="1"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ht="15.75" customHeight="1"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ht="15.75" customHeight="1"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ht="15.75" customHeight="1"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ht="15.75" customHeight="1"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ht="15.75" customHeight="1"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ht="15.75" customHeight="1"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ht="15.75" customHeight="1"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ht="15.75" customHeight="1"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ht="15.75" customHeight="1"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ht="15.75" customHeight="1"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ht="15.75" customHeight="1"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ht="15.75" customHeight="1"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ht="15.75" customHeight="1"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ht="15.75" customHeight="1"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ht="15.75" customHeight="1"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ht="15.75" customHeight="1"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ht="15.75" customHeight="1"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ht="15.75" customHeight="1"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ht="15.75" customHeight="1"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ht="15.75" customHeight="1"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ht="15.75" customHeight="1"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ht="15.75" customHeight="1"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ht="15.75" customHeight="1"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ht="15.75" customHeight="1"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ht="15.75" customHeight="1"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ht="15.75" customHeight="1"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ht="15.75" customHeight="1"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ht="15.75" customHeight="1"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ht="15.75" customHeight="1"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ht="15.75" customHeight="1"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ht="15.75" customHeight="1"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ht="15.75" customHeight="1"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ht="15.75" customHeight="1"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ht="15.75" customHeight="1"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ht="15.75" customHeight="1"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ht="15.75" customHeight="1"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ht="15.75" customHeight="1"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ht="15.75" customHeight="1"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ht="15.75" customHeight="1"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ht="15.75" customHeight="1"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ht="15.75" customHeight="1"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ht="15.75" customHeight="1"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ht="15.75" customHeight="1"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ht="15.75" customHeight="1"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ht="15.75" customHeight="1"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ht="15.75" customHeight="1"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ht="15.75" customHeight="1"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ht="15.75" customHeight="1"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ht="15.75" customHeight="1"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ht="15.75" customHeight="1"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ht="15.75" customHeight="1"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ht="15.75" customHeight="1"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ht="15.75" customHeight="1"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ht="15.75" customHeight="1"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ht="15.75" customHeight="1"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ht="15.75" customHeight="1"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ht="15.75" customHeight="1"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ht="15.75" customHeight="1"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ht="15.75" customHeight="1"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ht="15.75" customHeight="1"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ht="15.75" customHeight="1"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ht="15.75" customHeight="1"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ht="15.75" customHeight="1"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ht="15.75" customHeight="1"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ht="15.75" customHeight="1"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ht="15.75" customHeight="1"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ht="15.75" customHeight="1"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ht="15.75" customHeight="1"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ht="15.75" customHeight="1"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ht="15.75" customHeight="1"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ht="15.75" customHeight="1"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ht="15.75" customHeight="1"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ht="15.75" customHeight="1"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ht="15.75" customHeight="1"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ht="15.75" customHeight="1"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ht="15.75" customHeight="1"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ht="15.75" customHeight="1"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ht="15.75" customHeight="1"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ht="15.75" customHeight="1"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ht="15.75" customHeight="1"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ht="15.75" customHeight="1"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ht="15.75" customHeight="1"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ht="15.75" customHeight="1"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ht="15.75" customHeight="1"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ht="15.75" customHeight="1"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ht="15.75" customHeight="1"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ht="15.75" customHeight="1"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ht="15.75" customHeight="1"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ht="15.75" customHeight="1"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ht="15.75" customHeight="1"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ht="15.75" customHeight="1"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ht="15.75" customHeight="1"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ht="15.75" customHeight="1"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ht="15.75" customHeight="1"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ht="15.75" customHeight="1"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ht="15.75" customHeight="1"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ht="15.75" customHeight="1"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ht="15.75" customHeight="1"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ht="15.75" customHeight="1"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ht="15.75" customHeight="1"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ht="15.75" customHeight="1"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ht="15.75" customHeight="1"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ht="15.75" customHeight="1"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ht="15.75" customHeight="1"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ht="15.75" customHeight="1"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ht="15.75" customHeight="1"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ht="15.75" customHeight="1"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ht="15.75" customHeight="1"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ht="15.75" customHeight="1"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ht="15.75" customHeight="1"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ht="15.75" customHeight="1"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ht="15.75" customHeight="1"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ht="15.75" customHeight="1"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ht="15.75" customHeight="1"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ht="15.75" customHeight="1"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ht="15.75" customHeight="1"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ht="15.75" customHeight="1"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ht="15.75" customHeight="1"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ht="15.75" customHeight="1"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ht="15.75" customHeight="1"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ht="15.75" customHeight="1"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ht="15.75" customHeight="1"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ht="15.75" customHeight="1"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ht="15.75" customHeight="1"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ht="15.75" customHeight="1"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ht="15.75" customHeight="1"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ht="15.75" customHeight="1"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ht="15.75" customHeight="1"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ht="15.75" customHeight="1"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ht="15.75" customHeight="1"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ht="15.75" customHeight="1"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ht="15.75" customHeight="1"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ht="15.75" customHeight="1"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ht="15.75" customHeight="1"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ht="15.75" customHeight="1"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ht="15.75" customHeight="1"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ht="15.75" customHeight="1"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ht="15.75" customHeight="1"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ht="15.75" customHeight="1"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ht="15.75" customHeight="1"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ht="15.75" customHeight="1"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ht="15.75" customHeight="1"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ht="15.75" customHeight="1"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ht="15.75" customHeight="1"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ht="15.75" customHeight="1"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ht="15.75" customHeight="1"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ht="15.75" customHeight="1"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ht="15.75" customHeight="1"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ht="15.75" customHeight="1"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ht="15.75" customHeight="1"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ht="15.75" customHeight="1"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ht="15.75" customHeight="1"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ht="15.75" customHeight="1"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ht="15.75" customHeight="1"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ht="15.75" customHeight="1"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ht="15.75" customHeight="1"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ht="15.75" customHeight="1"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ht="15.75" customHeight="1"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ht="15.75" customHeight="1"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ht="15.75" customHeight="1"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ht="15.75" customHeight="1"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ht="15.75" customHeight="1"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ht="15.75" customHeight="1"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ht="15.75" customHeight="1"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ht="15.75" customHeight="1"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ht="15.75" customHeight="1"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ht="15.75" customHeight="1"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ht="15.75" customHeight="1"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ht="15.75" customHeight="1"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ht="15.75" customHeight="1"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ht="15.75" customHeight="1"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ht="15.75" customHeight="1"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ht="15.75" customHeight="1"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ht="15.75" customHeight="1"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ht="15.75" customHeight="1"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ht="15.75" customHeight="1"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ht="15.75" customHeight="1"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ht="15.75" customHeight="1"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ht="15.75" customHeight="1"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ht="15.75" customHeight="1"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ht="15.75" customHeight="1"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ht="15.75" customHeight="1"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ht="15.75" customHeight="1"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ht="15.75" customHeight="1"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ht="15.75" customHeight="1"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ht="15.75" customHeight="1"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ht="15.75" customHeight="1"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ht="15.75" customHeight="1"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ht="15.75" customHeight="1"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ht="15.75" customHeight="1"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ht="15.75" customHeight="1"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ht="15.75" customHeight="1"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ht="15.75" customHeight="1"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ht="15.75" customHeight="1"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ht="15.75" customHeight="1"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ht="15.75" customHeight="1"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ht="15.75" customHeight="1"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ht="15.75" customHeight="1"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ht="15.75" customHeight="1"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ht="15.75" customHeight="1"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ht="15.75" customHeight="1"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ht="15.75" customHeight="1"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ht="15.75" customHeight="1"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ht="15.75" customHeight="1"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ht="15.75" customHeight="1"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ht="15.75" customHeight="1"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ht="15.75" customHeight="1"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ht="15.75" customHeight="1"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ht="15.75" customHeight="1"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ht="15.75" customHeight="1"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ht="15.75" customHeight="1"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ht="15.75" customHeight="1"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ht="15.75" customHeight="1"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ht="15.75" customHeight="1"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ht="15.75" customHeight="1"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ht="15.75" customHeight="1"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ht="15.75" customHeight="1"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ht="15.75" customHeight="1"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ht="15.75" customHeight="1"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ht="15.75" customHeight="1"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ht="15.75" customHeight="1"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ht="15.75" customHeight="1"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ht="15.75" customHeight="1"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ht="15.75" customHeight="1"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ht="15.75" customHeight="1"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ht="15.75" customHeight="1"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ht="15.75" customHeight="1"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ht="15.75" customHeight="1"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ht="15.75" customHeight="1"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ht="15.75" customHeight="1"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ht="15.75" customHeight="1"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ht="15.75" customHeight="1"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ht="15.75" customHeight="1"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ht="15.75" customHeight="1"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ht="15.75" customHeight="1"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ht="15.75" customHeight="1"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ht="15.75" customHeight="1"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ht="15.75" customHeight="1"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ht="15.75" customHeight="1"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ht="15.75" customHeight="1"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ht="15.75" customHeight="1"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ht="15.75" customHeight="1"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ht="15.75" customHeight="1"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ht="15.75" customHeight="1"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ht="15.75" customHeight="1"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ht="15.75" customHeight="1"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ht="15.75" customHeight="1"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ht="15.75" customHeight="1"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ht="15.75" customHeight="1"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ht="15.75" customHeight="1"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ht="15.75" customHeight="1"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ht="15.75" customHeight="1"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ht="15.75" customHeight="1"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ht="15.75" customHeight="1"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ht="15.75" customHeight="1"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ht="15.75" customHeight="1"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ht="15.75" customHeight="1"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ht="15.75" customHeight="1"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ht="15.75" customHeight="1"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ht="15.75" customHeight="1"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ht="15.75" customHeight="1"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ht="15.75" customHeight="1"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ht="15.75" customHeight="1"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ht="15.75" customHeight="1"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ht="15.75" customHeight="1"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ht="15.75" customHeight="1"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ht="15.75" customHeight="1"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ht="15.75" customHeight="1"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ht="15.75" customHeight="1"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ht="15.75" customHeight="1"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ht="15.75" customHeight="1"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ht="15.75" customHeight="1"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ht="15.75" customHeight="1"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ht="15.75" customHeight="1"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ht="15.75" customHeight="1"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ht="15.75" customHeight="1"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ht="15.75" customHeight="1"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ht="15.75" customHeight="1"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ht="15.75" customHeight="1"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ht="15.75" customHeight="1"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ht="15.75" customHeight="1"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ht="15.75" customHeight="1"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ht="15.75" customHeight="1"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ht="15.75" customHeight="1"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ht="15.75" customHeight="1"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ht="15.75" customHeight="1"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ht="15.75" customHeight="1"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ht="15.75" customHeight="1"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ht="15.75" customHeight="1"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ht="15.75" customHeight="1"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ht="15.75" customHeight="1"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ht="15.75" customHeight="1"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ht="15.75" customHeight="1"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ht="15.75" customHeight="1"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ht="15.75" customHeight="1"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ht="15.75" customHeight="1"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ht="15.75" customHeight="1"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ht="15.75" customHeight="1"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ht="15.75" customHeight="1"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ht="15.75" customHeight="1"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ht="15.75" customHeight="1"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ht="15.75" customHeight="1"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ht="15.75" customHeight="1"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ht="15.75" customHeight="1"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ht="15.75" customHeight="1"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ht="15.75" customHeight="1"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ht="15.75" customHeight="1"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ht="15.75" customHeight="1"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ht="15.75" customHeight="1"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ht="15.75" customHeight="1"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ht="15.75" customHeight="1"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ht="15.75" customHeight="1"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ht="15.75" customHeight="1"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ht="15.75" customHeight="1"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ht="15.75" customHeight="1"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ht="15.75" customHeight="1"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ht="15.75" customHeight="1"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ht="15.75" customHeight="1"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ht="15.75" customHeight="1"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ht="15.75" customHeight="1"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ht="15.75" customHeight="1"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ht="15.75" customHeight="1"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ht="15.75" customHeight="1"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ht="15.75" customHeight="1"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ht="15.75" customHeight="1"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ht="15.75" customHeight="1"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ht="15.75" customHeight="1"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ht="15.75" customHeight="1"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ht="15.75" customHeight="1"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ht="15.75" customHeight="1"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ht="15.75" customHeight="1"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ht="15.75" customHeight="1"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ht="15.75" customHeight="1"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ht="15.75" customHeight="1"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ht="15.75" customHeight="1"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ht="15.75" customHeight="1"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ht="15.75" customHeight="1"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ht="15.75" customHeight="1"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ht="15.75" customHeight="1"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ht="15.75" customHeight="1"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ht="15.75" customHeight="1"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ht="15.75" customHeight="1"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ht="15.75" customHeight="1"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ht="15.75" customHeight="1"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ht="15.75" customHeight="1"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ht="15.75" customHeight="1"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ht="15.75" customHeight="1"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ht="15.75" customHeight="1"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ht="15.75" customHeight="1"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ht="15.75" customHeight="1"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ht="15.75" customHeight="1"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ht="15.75" customHeight="1"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ht="15.75" customHeight="1"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ht="15.75" customHeight="1"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ht="15.75" customHeight="1"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ht="15.75" customHeight="1"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ht="15.75" customHeight="1"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ht="15.75" customHeight="1"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ht="15.75" customHeight="1"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ht="15.75" customHeight="1"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ht="15.75" customHeight="1"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ht="15.75" customHeight="1"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ht="15.75" customHeight="1"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ht="15.75" customHeight="1"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ht="15.75" customHeight="1"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ht="15.75" customHeight="1"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ht="15.75" customHeight="1"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ht="15.75" customHeight="1"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ht="15.75" customHeight="1"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ht="15.75" customHeight="1"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ht="15.75" customHeight="1"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ht="15.75" customHeight="1"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ht="15.75" customHeight="1"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ht="15.75" customHeight="1"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ht="15.75" customHeight="1"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ht="15.75" customHeight="1"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ht="15.75" customHeight="1"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ht="15.75" customHeight="1"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ht="15.75" customHeight="1"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ht="15.75" customHeight="1"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ht="15.75" customHeight="1"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ht="15.75" customHeight="1"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ht="15.75" customHeight="1"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ht="15.75" customHeight="1"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ht="15.75" customHeight="1"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ht="15.75" customHeight="1"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ht="15.75" customHeight="1"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ht="15.75" customHeight="1"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ht="15.75" customHeight="1"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ht="15.75" customHeight="1"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ht="15.75" customHeight="1"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ht="15.75" customHeight="1"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ht="15.75" customHeight="1"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ht="15.75" customHeight="1"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ht="15.75" customHeight="1"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ht="15.75" customHeight="1"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ht="15.75" customHeight="1"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ht="15.75" customHeight="1"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ht="15.75" customHeight="1"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ht="15.75" customHeight="1"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ht="15.75" customHeight="1"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ht="15.75" customHeight="1"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ht="15.75" customHeight="1"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ht="15.75" customHeight="1"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ht="15.75" customHeight="1"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ht="15.75" customHeight="1"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ht="15.75" customHeight="1"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ht="15.75" customHeight="1"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ht="15.75" customHeight="1"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ht="15.75" customHeight="1"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ht="15.75" customHeight="1"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ht="15.75" customHeight="1"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ht="15.75" customHeight="1"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ht="15.75" customHeight="1"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ht="15.75" customHeight="1"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ht="15.75" customHeight="1"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ht="15.75" customHeight="1"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ht="15.75" customHeight="1"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ht="15.75" customHeight="1"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ht="15.75" customHeight="1"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ht="15.75" customHeight="1"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ht="15.75" customHeight="1"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ht="15.75" customHeight="1"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ht="15.75" customHeight="1"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ht="15.75" customHeight="1"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ht="15.75" customHeight="1"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ht="15.75" customHeight="1"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ht="15.75" customHeight="1"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ht="15.75" customHeight="1"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ht="15.75" customHeight="1"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ht="15.75" customHeight="1"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ht="15.75" customHeight="1"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ht="15.75" customHeight="1"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ht="15.75" customHeight="1"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ht="15.75" customHeight="1"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ht="15.75" customHeight="1"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ht="15.75" customHeight="1"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ht="15.75" customHeight="1"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ht="15.75" customHeight="1"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ht="15.75" customHeight="1"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ht="15.75" customHeight="1"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ht="15.75" customHeight="1"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ht="15.75" customHeight="1"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ht="15.75" customHeight="1"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ht="15.75" customHeight="1"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ht="15.75" customHeight="1"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ht="15.75" customHeight="1"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ht="15.75" customHeight="1"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ht="15.75" customHeight="1"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ht="15.75" customHeight="1"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ht="15.75" customHeight="1"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ht="15.75" customHeight="1"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ht="15.75" customHeight="1"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ht="15.75" customHeight="1"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ht="15.75" customHeight="1"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ht="15.75" customHeight="1"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ht="15.75" customHeight="1"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ht="15.75" customHeight="1"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ht="15.75" customHeight="1"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ht="15.75" customHeight="1"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ht="15.75" customHeight="1"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ht="15.75" customHeight="1"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ht="15.75" customHeight="1"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ht="15.75" customHeight="1"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ht="15.75" customHeight="1"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ht="15.75" customHeight="1"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ht="15.75" customHeight="1"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ht="15.75" customHeight="1"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ht="15.75" customHeight="1"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ht="15.75" customHeight="1"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ht="15.75" customHeight="1"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ht="15.75" customHeight="1"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ht="15.75" customHeight="1"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ht="15.75" customHeight="1"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ht="15.75" customHeight="1"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ht="15.75" customHeight="1"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ht="15.75" customHeight="1"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ht="15.75" customHeight="1"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ht="15.75" customHeight="1"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ht="15.75" customHeight="1"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ht="15.75" customHeight="1"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ht="15.75" customHeight="1"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ht="15.75" customHeight="1"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ht="15.75" customHeight="1"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ht="15.75" customHeight="1"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ht="15.75" customHeight="1"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ht="15.75" customHeight="1"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ht="15.75" customHeight="1"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ht="15.75" customHeight="1"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ht="15.75" customHeight="1"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ht="15.75" customHeight="1"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ht="15.75" customHeight="1"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ht="15.75" customHeight="1"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ht="15.75" customHeight="1"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ht="15.75" customHeight="1"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ht="15.75" customHeight="1"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ht="15.75" customHeight="1"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ht="15.75" customHeight="1"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ht="15.75" customHeight="1"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ht="15.75" customHeight="1"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ht="15.75" customHeight="1"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ht="15.75" customHeight="1"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ht="15.75" customHeight="1"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ht="15.75" customHeight="1"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ht="15.75" customHeight="1"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ht="15.75" customHeight="1"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ht="15.75" customHeight="1"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ht="15.75" customHeight="1"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ht="15.75" customHeight="1"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ht="15.75" customHeight="1"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ht="15.75" customHeight="1"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ht="15.75" customHeight="1"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ht="15.75" customHeight="1"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ht="15.75" customHeight="1"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ht="15.75" customHeight="1"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ht="15.75" customHeight="1"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ht="15.75" customHeight="1"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ht="15.75" customHeight="1"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ht="15.75" customHeight="1"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ht="15.75" customHeight="1"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ht="15.75" customHeight="1"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ht="15.75" customHeight="1"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ht="15.75" customHeight="1"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ht="15.75" customHeight="1"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ht="15.75" customHeight="1"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ht="15.75" customHeight="1"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ht="15.75" customHeight="1"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ht="15.75" customHeight="1"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ht="15.75" customHeight="1"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ht="15.75" customHeight="1"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ht="15.75" customHeight="1"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ht="15.75" customHeight="1"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ht="15.75" customHeight="1"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ht="15.75" customHeight="1"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ht="15.75" customHeight="1"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ht="15.75" customHeight="1"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ht="15.75" customHeight="1"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ht="15.75" customHeight="1"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ht="15.75" customHeight="1"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ht="15.75" customHeight="1"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ht="15.75" customHeight="1"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ht="15.75" customHeight="1"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ht="15.75" customHeight="1"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ht="15.75" customHeight="1"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ht="15.75" customHeight="1"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ht="15.75" customHeight="1"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ht="15.75" customHeight="1"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ht="15.75" customHeight="1"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ht="15.75" customHeight="1"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ht="15.75" customHeight="1"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ht="15.75" customHeight="1"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ht="15.75" customHeight="1"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ht="15.75" customHeight="1"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ht="15.75" customHeight="1"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ht="15.75" customHeight="1"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ht="15.75" customHeight="1"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ht="15.75" customHeight="1"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ht="15.75" customHeight="1"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ht="15.75" customHeight="1"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ht="15.75" customHeight="1"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ht="15.75" customHeight="1"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ht="15.75" customHeight="1"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ht="15.75" customHeight="1"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ht="15.75" customHeight="1"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ht="15.75" customHeight="1"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ht="15.75" customHeight="1"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ht="15.75" customHeight="1"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ht="15.75" customHeight="1"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ht="15.75" customHeight="1"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ht="15.75" customHeight="1"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ht="15.75" customHeight="1"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ht="15.75" customHeight="1"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ht="15.75" customHeight="1"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ht="15.75" customHeight="1"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ht="15.75" customHeight="1"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ht="15.75" customHeight="1"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ht="15.75" customHeight="1"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ht="15.75" customHeight="1"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ht="15.75" customHeight="1"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ht="15.75" customHeight="1"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ht="15.75" customHeight="1"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ht="15.75" customHeight="1"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ht="15.75" customHeight="1"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ht="15.75" customHeight="1"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ht="15.75" customHeight="1"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ht="15.75" customHeight="1"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ht="15.75" customHeight="1"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ht="15.75" customHeight="1"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ht="15.75" customHeight="1"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ht="15.75" customHeight="1"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ht="15.75" customHeight="1"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ht="15.75" customHeight="1"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ht="15.75" customHeight="1"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ht="15.75" customHeight="1"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ht="15.75" customHeight="1"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ht="15.75" customHeight="1"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ht="15.75" customHeight="1"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ht="15.75" customHeight="1"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ht="15.75" customHeight="1"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ht="15.75" customHeight="1"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ht="15.75" customHeight="1"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ht="15.75" customHeight="1"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ht="15.75" customHeight="1"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ht="15.75" customHeight="1"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ht="15.75" customHeight="1"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ht="15.75" customHeight="1"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ht="15.75" customHeight="1"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ht="15.75" customHeight="1"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ht="15.75" customHeight="1"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ht="15.75" customHeight="1"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ht="15.75" customHeight="1"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ht="15.75" customHeight="1"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ht="15.75" customHeight="1"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ht="15.75" customHeight="1"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ht="15.75" customHeight="1"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ht="15.75" customHeight="1"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ht="15.75" customHeight="1"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ht="15.75" customHeight="1"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ht="15.75" customHeight="1"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ht="15.75" customHeight="1"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ht="15.75" customHeight="1"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ht="15.75" customHeight="1"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ht="15.75" customHeight="1"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ht="15.75" customHeight="1"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ht="15.75" customHeight="1"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ht="15.75" customHeight="1"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ht="15.75" customHeight="1"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ht="15.75" customHeight="1"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ht="15.75" customHeight="1"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ht="15.75" customHeight="1"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ht="15.75" customHeight="1"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ht="15.75" customHeight="1"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ht="15.75" customHeight="1"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ht="15.75" customHeight="1"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ht="15.75" customHeight="1"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ht="15.75" customHeight="1"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ht="15.75" customHeight="1"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ht="15.75" customHeight="1"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ht="15.75" customHeight="1"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ht="15.75" customHeight="1"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ht="15.75" customHeight="1"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ht="15.75" customHeight="1"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ht="15.75" customHeight="1"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ht="15.75" customHeight="1"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ht="15.75" customHeight="1"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ht="15.75" customHeight="1"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ht="15.75" customHeight="1"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ht="15.75" customHeight="1"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ht="15.75" customHeight="1"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ht="15.75" customHeight="1"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ht="15.75" customHeight="1"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ht="15.75" customHeight="1"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ht="15.75" customHeight="1"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ht="15.75" customHeight="1"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ht="15.75" customHeight="1"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ht="15.75" customHeight="1"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ht="15.75" customHeight="1"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ht="15.75" customHeight="1"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ht="15.75" customHeight="1"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ht="15.75" customHeight="1"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ht="15.75" customHeight="1"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ht="15.75" customHeight="1"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ht="15.75" customHeight="1"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ht="15.75" customHeight="1"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ht="15.75" customHeight="1"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ht="15.75" customHeight="1"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ht="15.75" customHeight="1"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ht="15.75" customHeight="1"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ht="15.75" customHeight="1"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ht="15.75" customHeight="1"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ht="15.75" customHeight="1"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ht="15.75" customHeight="1"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ht="15.75" customHeight="1"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ht="15.75" customHeight="1"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ht="15.75" customHeight="1"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ht="15.75" customHeight="1"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ht="15.75" customHeight="1"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ht="15.75" customHeight="1"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ht="15.75" customHeight="1"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ht="15.75" customHeight="1"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ht="15.75" customHeight="1"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ht="15.75" customHeight="1"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ht="15.75" customHeight="1"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ht="15.75" customHeight="1"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ht="15.75" customHeight="1"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ht="15.75" customHeight="1"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</sheetData>
  <mergeCells count="10">
    <mergeCell ref="E64:F64"/>
    <mergeCell ref="E65:F65"/>
    <mergeCell ref="A1:S1"/>
    <mergeCell ref="E57:H57"/>
    <mergeCell ref="E58:H58"/>
    <mergeCell ref="E59:H59"/>
    <mergeCell ref="A64:C64"/>
    <mergeCell ref="M64:O64"/>
    <mergeCell ref="A65:C65"/>
    <mergeCell ref="M65:O65"/>
  </mergeCells>
  <printOptions horizontalCentered="1"/>
  <pageMargins bottom="0.3" footer="0.0" header="0.0" left="0.7" right="0.7" top="0.3"/>
  <pageSetup paperSize="5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3" t="s">
        <v>135</v>
      </c>
    </row>
    <row r="3">
      <c r="A3" s="7">
        <f>RANK(Sheet1!P3,Sheet1!$P$3:$P$54)</f>
        <v>51</v>
      </c>
    </row>
    <row r="4">
      <c r="A4" s="7">
        <f>RANK(Sheet1!P4,Sheet1!$P$3:$P$54)</f>
        <v>6</v>
      </c>
    </row>
    <row r="5">
      <c r="A5" s="7">
        <f>RANK(Sheet1!P5,Sheet1!$P$3:$P$54)</f>
        <v>32</v>
      </c>
    </row>
    <row r="6">
      <c r="A6" s="7">
        <f>RANK(Sheet1!P6,Sheet1!$P$3:$P$54)</f>
        <v>50</v>
      </c>
    </row>
    <row r="7">
      <c r="A7" s="7">
        <f>RANK(Sheet1!P7,Sheet1!$P$3:$P$54)</f>
        <v>30</v>
      </c>
    </row>
    <row r="8">
      <c r="A8" s="7">
        <f>RANK(Sheet1!P8,Sheet1!$P$3:$P$54)</f>
        <v>52</v>
      </c>
    </row>
    <row r="9">
      <c r="A9" s="7">
        <f>RANK(Sheet1!P9,Sheet1!$P$3:$P$54)</f>
        <v>48</v>
      </c>
    </row>
    <row r="10">
      <c r="A10" s="7">
        <f>RANK(Sheet1!P10,Sheet1!$P$3:$P$54)</f>
        <v>4</v>
      </c>
    </row>
    <row r="11">
      <c r="A11" s="7">
        <f>RANK(Sheet1!P11,Sheet1!$P$3:$P$54)</f>
        <v>1</v>
      </c>
    </row>
    <row r="12">
      <c r="A12" s="7">
        <f>RANK(Sheet1!P12,Sheet1!$P$3:$P$54)</f>
        <v>33</v>
      </c>
    </row>
    <row r="13">
      <c r="A13" s="7">
        <f>RANK(Sheet1!P13,Sheet1!$P$3:$P$54)</f>
        <v>9</v>
      </c>
    </row>
    <row r="14">
      <c r="A14" s="7">
        <f>RANK(Sheet1!P14,Sheet1!$P$3:$P$54)</f>
        <v>24</v>
      </c>
    </row>
    <row r="15">
      <c r="A15" s="7">
        <f>RANK(Sheet1!P15,Sheet1!$P$3:$P$54)</f>
        <v>29</v>
      </c>
    </row>
    <row r="16">
      <c r="A16" s="7">
        <f>RANK(Sheet1!P16,Sheet1!$P$3:$P$54)</f>
        <v>25</v>
      </c>
    </row>
    <row r="17">
      <c r="A17" s="7">
        <f>RANK(Sheet1!P17,Sheet1!$P$3:$P$54)</f>
        <v>39</v>
      </c>
    </row>
    <row r="18">
      <c r="A18" s="7">
        <f>RANK(Sheet1!P18,Sheet1!$P$3:$P$54)</f>
        <v>19</v>
      </c>
    </row>
    <row r="19">
      <c r="A19" s="7">
        <f>RANK(Sheet1!P19,Sheet1!$P$3:$P$54)</f>
        <v>21</v>
      </c>
    </row>
    <row r="20">
      <c r="A20" s="7">
        <f>RANK(Sheet1!P20,Sheet1!$P$3:$P$54)</f>
        <v>17</v>
      </c>
    </row>
    <row r="21" ht="15.75" customHeight="1">
      <c r="A21" s="7">
        <f>RANK(Sheet1!P21,Sheet1!$P$3:$P$54)</f>
        <v>5</v>
      </c>
    </row>
    <row r="22" ht="15.75" customHeight="1">
      <c r="A22" s="7">
        <f>RANK(Sheet1!P22,Sheet1!$P$3:$P$54)</f>
        <v>22</v>
      </c>
    </row>
    <row r="23" ht="15.75" customHeight="1">
      <c r="A23" s="7">
        <f>RANK(Sheet1!P23,Sheet1!$P$3:$P$54)</f>
        <v>36</v>
      </c>
    </row>
    <row r="24" ht="15.75" customHeight="1">
      <c r="A24" s="7">
        <f>RANK(Sheet1!P24,Sheet1!$P$3:$P$54)</f>
        <v>39</v>
      </c>
    </row>
    <row r="25" ht="15.75" customHeight="1">
      <c r="A25" s="7">
        <f>RANK(Sheet1!P25,Sheet1!$P$3:$P$54)</f>
        <v>46</v>
      </c>
    </row>
    <row r="26" ht="15.75" customHeight="1">
      <c r="A26" s="7">
        <f>RANK(Sheet1!P26,Sheet1!$P$3:$P$54)</f>
        <v>13</v>
      </c>
    </row>
    <row r="27" ht="15.75" customHeight="1">
      <c r="A27" s="7">
        <f>RANK(Sheet1!P27,Sheet1!$P$3:$P$54)</f>
        <v>8</v>
      </c>
    </row>
    <row r="28" ht="15.75" customHeight="1">
      <c r="A28" s="7">
        <f>RANK(Sheet1!P28,Sheet1!$P$3:$P$54)</f>
        <v>47</v>
      </c>
    </row>
    <row r="29" ht="15.75" customHeight="1">
      <c r="A29" s="7">
        <f>RANK(Sheet1!P29,Sheet1!$P$3:$P$54)</f>
        <v>10</v>
      </c>
    </row>
    <row r="30" ht="15.75" customHeight="1">
      <c r="A30" s="7">
        <f>RANK(Sheet1!P30,Sheet1!$P$3:$P$54)</f>
        <v>7</v>
      </c>
    </row>
    <row r="31" ht="15.75" customHeight="1">
      <c r="A31" s="7">
        <f>RANK(Sheet1!P31,Sheet1!$P$3:$P$54)</f>
        <v>20</v>
      </c>
    </row>
    <row r="32" ht="15.75" customHeight="1">
      <c r="A32" s="7">
        <f>RANK(Sheet1!P32,Sheet1!$P$3:$P$54)</f>
        <v>37</v>
      </c>
    </row>
    <row r="33" ht="15.75" customHeight="1">
      <c r="A33" s="7">
        <f>RANK(Sheet1!P33,Sheet1!$P$3:$P$54)</f>
        <v>12</v>
      </c>
    </row>
    <row r="34" ht="15.75" customHeight="1">
      <c r="A34" s="7">
        <f>RANK(Sheet1!P34,Sheet1!$P$3:$P$54)</f>
        <v>34</v>
      </c>
    </row>
    <row r="35" ht="15.75" customHeight="1">
      <c r="A35" s="7">
        <f>RANK(Sheet1!P35,Sheet1!$P$3:$P$54)</f>
        <v>3</v>
      </c>
    </row>
    <row r="36" ht="15.75" customHeight="1">
      <c r="A36" s="7">
        <f>RANK(Sheet1!P36,Sheet1!$P$3:$P$54)</f>
        <v>14</v>
      </c>
    </row>
    <row r="37" ht="15.75" customHeight="1">
      <c r="A37" s="7">
        <f>RANK(Sheet1!P37,Sheet1!$P$3:$P$54)</f>
        <v>28</v>
      </c>
    </row>
    <row r="38" ht="15.75" customHeight="1">
      <c r="A38" s="7">
        <f>RANK(Sheet1!P38,Sheet1!$P$3:$P$54)</f>
        <v>27</v>
      </c>
    </row>
    <row r="39" ht="15.75" customHeight="1">
      <c r="A39" s="7">
        <f>RANK(Sheet1!P39,Sheet1!$P$3:$P$54)</f>
        <v>44</v>
      </c>
    </row>
    <row r="40" ht="15.75" customHeight="1">
      <c r="A40" s="7">
        <f>RANK(Sheet1!P40,Sheet1!$P$3:$P$54)</f>
        <v>11</v>
      </c>
    </row>
    <row r="41" ht="15.75" customHeight="1">
      <c r="A41" s="7">
        <f>RANK(Sheet1!P41,Sheet1!$P$3:$P$54)</f>
        <v>16</v>
      </c>
    </row>
    <row r="42" ht="15.75" customHeight="1">
      <c r="A42" s="7">
        <f>RANK(Sheet1!P42,Sheet1!$P$3:$P$54)</f>
        <v>26</v>
      </c>
    </row>
    <row r="43" ht="15.75" customHeight="1">
      <c r="A43" s="7">
        <f>RANK(Sheet1!P43,Sheet1!$P$3:$P$54)</f>
        <v>49</v>
      </c>
    </row>
    <row r="44" ht="15.75" customHeight="1">
      <c r="A44" s="7">
        <f>RANK(Sheet1!P44,Sheet1!$P$3:$P$54)</f>
        <v>23</v>
      </c>
    </row>
    <row r="45" ht="15.75" customHeight="1">
      <c r="A45" s="7">
        <f>RANK(Sheet1!P45,Sheet1!$P$3:$P$54)</f>
        <v>45</v>
      </c>
    </row>
    <row r="46" ht="15.75" customHeight="1">
      <c r="A46" s="7">
        <f>RANK(Sheet1!P46,Sheet1!$P$3:$P$54)</f>
        <v>31</v>
      </c>
    </row>
    <row r="47" ht="15.75" customHeight="1">
      <c r="A47" s="7">
        <f>RANK(Sheet1!P47,Sheet1!$P$3:$P$54)</f>
        <v>41</v>
      </c>
    </row>
    <row r="48" ht="15.75" customHeight="1">
      <c r="A48" s="7">
        <f>RANK(Sheet1!P48,Sheet1!$P$3:$P$54)</f>
        <v>18</v>
      </c>
    </row>
    <row r="49" ht="15.75" customHeight="1">
      <c r="A49" s="7">
        <f>RANK(Sheet1!P49,Sheet1!$P$3:$P$54)</f>
        <v>38</v>
      </c>
    </row>
    <row r="50" ht="15.75" customHeight="1">
      <c r="A50" s="7">
        <f>RANK(Sheet1!P50,Sheet1!$P$3:$P$54)</f>
        <v>35</v>
      </c>
    </row>
    <row r="51" ht="15.75" customHeight="1">
      <c r="A51" s="7">
        <f>RANK(Sheet1!P51,Sheet1!$P$3:$P$54)</f>
        <v>43</v>
      </c>
    </row>
    <row r="52" ht="15.75" customHeight="1">
      <c r="A52" s="7">
        <f>RANK(Sheet1!P52,Sheet1!$P$3:$P$54)</f>
        <v>42</v>
      </c>
    </row>
    <row r="53" ht="15.75" customHeight="1">
      <c r="A53" s="7">
        <f>RANK(Sheet1!P53,Sheet1!$P$3:$P$54)</f>
        <v>14</v>
      </c>
    </row>
    <row r="54" ht="15.75" customHeight="1">
      <c r="A54" s="7">
        <f>RANK(Sheet1!P54,Sheet1!$P$3:$P$54)</f>
        <v>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9" t="s">
        <v>136</v>
      </c>
    </row>
    <row r="3">
      <c r="A3" s="20">
        <v>12.0</v>
      </c>
    </row>
    <row r="4">
      <c r="A4" s="20">
        <v>59.0</v>
      </c>
    </row>
    <row r="5">
      <c r="A5" s="21" t="s">
        <v>137</v>
      </c>
    </row>
    <row r="6">
      <c r="A6" s="20">
        <v>25.0</v>
      </c>
    </row>
    <row r="7">
      <c r="A7" s="20">
        <v>38.0</v>
      </c>
    </row>
    <row r="8">
      <c r="A8" s="20">
        <v>21.0</v>
      </c>
    </row>
    <row r="9">
      <c r="A9" s="20">
        <v>25.0</v>
      </c>
    </row>
    <row r="10">
      <c r="A10" s="20">
        <v>55.0</v>
      </c>
    </row>
    <row r="11">
      <c r="A11" s="20">
        <v>54.0</v>
      </c>
    </row>
    <row r="12">
      <c r="A12" s="20">
        <v>19.0</v>
      </c>
    </row>
    <row r="13">
      <c r="A13" s="20">
        <v>46.0</v>
      </c>
    </row>
    <row r="14">
      <c r="A14" s="20">
        <v>28.0</v>
      </c>
    </row>
    <row r="15">
      <c r="A15" s="20">
        <v>41.0</v>
      </c>
    </row>
    <row r="16">
      <c r="A16" s="20">
        <v>62.0</v>
      </c>
    </row>
    <row r="17">
      <c r="A17" s="20">
        <v>39.0</v>
      </c>
    </row>
    <row r="18">
      <c r="A18" s="20">
        <v>50.0</v>
      </c>
    </row>
    <row r="19">
      <c r="A19" s="20">
        <v>41.0</v>
      </c>
    </row>
    <row r="20">
      <c r="A20" s="20">
        <v>54.0</v>
      </c>
    </row>
    <row r="21" ht="15.75" customHeight="1">
      <c r="A21" s="20">
        <v>61.0</v>
      </c>
    </row>
    <row r="22" ht="15.75" customHeight="1">
      <c r="A22" s="20">
        <v>30.0</v>
      </c>
    </row>
    <row r="23" ht="15.75" customHeight="1">
      <c r="A23" s="20">
        <v>32.0</v>
      </c>
    </row>
    <row r="24" ht="15.75" customHeight="1">
      <c r="A24" s="20">
        <v>42.0</v>
      </c>
    </row>
    <row r="25" ht="15.75" customHeight="1">
      <c r="A25" s="20">
        <v>18.0</v>
      </c>
    </row>
    <row r="26" ht="15.75" customHeight="1">
      <c r="A26" s="20">
        <v>45.0</v>
      </c>
    </row>
    <row r="27" ht="15.75" customHeight="1">
      <c r="A27" s="20">
        <v>48.0</v>
      </c>
    </row>
    <row r="28" ht="15.75" customHeight="1">
      <c r="A28" s="20">
        <v>19.0</v>
      </c>
    </row>
    <row r="29" ht="15.75" customHeight="1">
      <c r="A29" s="20">
        <v>44.0</v>
      </c>
    </row>
    <row r="30" ht="15.75" customHeight="1">
      <c r="A30" s="20">
        <v>47.0</v>
      </c>
    </row>
    <row r="31" ht="15.75" customHeight="1">
      <c r="A31" s="20">
        <v>46.0</v>
      </c>
    </row>
    <row r="32" ht="15.75" customHeight="1">
      <c r="A32" s="20">
        <v>10.0</v>
      </c>
    </row>
    <row r="33" ht="15.75" customHeight="1">
      <c r="A33" s="21" t="s">
        <v>137</v>
      </c>
    </row>
    <row r="34" ht="15.75" customHeight="1">
      <c r="A34" s="20">
        <v>7.0</v>
      </c>
    </row>
    <row r="35" ht="15.75" customHeight="1">
      <c r="A35" s="20">
        <v>57.0</v>
      </c>
    </row>
    <row r="36" ht="15.75" customHeight="1">
      <c r="A36" s="20">
        <v>62.0</v>
      </c>
    </row>
    <row r="37" ht="15.75" customHeight="1">
      <c r="A37" s="20">
        <v>17.0</v>
      </c>
    </row>
    <row r="38" ht="15.75" customHeight="1">
      <c r="A38" s="20">
        <v>12.0</v>
      </c>
    </row>
    <row r="39" ht="15.75" customHeight="1">
      <c r="A39" s="20">
        <v>21.0</v>
      </c>
    </row>
    <row r="40" ht="15.75" customHeight="1">
      <c r="A40" s="20">
        <v>46.0</v>
      </c>
    </row>
    <row r="41" ht="15.75" customHeight="1">
      <c r="A41" s="20">
        <v>36.0</v>
      </c>
    </row>
    <row r="42" ht="15.75" customHeight="1">
      <c r="A42" s="20">
        <v>26.0</v>
      </c>
    </row>
    <row r="43" ht="15.75" customHeight="1">
      <c r="A43" s="20">
        <v>11.0</v>
      </c>
    </row>
    <row r="44" ht="15.75" customHeight="1">
      <c r="A44" s="20">
        <v>25.0</v>
      </c>
    </row>
    <row r="45" ht="15.75" customHeight="1">
      <c r="A45" s="20">
        <v>28.0</v>
      </c>
    </row>
    <row r="46" ht="15.75" customHeight="1">
      <c r="A46" s="20">
        <v>32.0</v>
      </c>
    </row>
    <row r="47" ht="15.75" customHeight="1">
      <c r="A47" s="20">
        <v>27.0</v>
      </c>
    </row>
    <row r="48" ht="15.75" customHeight="1">
      <c r="A48" s="21" t="s">
        <v>137</v>
      </c>
    </row>
    <row r="49" ht="15.75" customHeight="1">
      <c r="A49" s="20">
        <v>26.0</v>
      </c>
    </row>
    <row r="50" ht="15.75" customHeight="1">
      <c r="A50" s="20">
        <v>25.0</v>
      </c>
    </row>
    <row r="51" ht="15.75" customHeight="1">
      <c r="A51" s="20">
        <v>34.0</v>
      </c>
    </row>
    <row r="52" ht="15.75" customHeight="1">
      <c r="A52" s="20">
        <v>7.0</v>
      </c>
    </row>
    <row r="53" ht="15.75" customHeight="1">
      <c r="A53" s="20">
        <v>27.0</v>
      </c>
    </row>
    <row r="54" ht="15.75" customHeight="1">
      <c r="A54" s="20">
        <v>65.0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