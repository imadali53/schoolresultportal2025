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<sst xmlns="http://schemas.openxmlformats.org/spreadsheetml/2006/main" count="158" uniqueCount="143">
  <si>
    <t xml:space="preserve">Annual Examination Result 2025: 6th B GHSS Adina </t>
  </si>
  <si>
    <t>Roll Number</t>
  </si>
  <si>
    <t>Admission Number</t>
  </si>
  <si>
    <t>Name</t>
  </si>
  <si>
    <t>Father Name</t>
  </si>
  <si>
    <t>Date of Birth</t>
  </si>
  <si>
    <t>English</t>
  </si>
  <si>
    <t>Urdu</t>
  </si>
  <si>
    <t>Maths</t>
  </si>
  <si>
    <t>G.Sc</t>
  </si>
  <si>
    <t xml:space="preserve">Islamiat </t>
  </si>
  <si>
    <t xml:space="preserve">M.Q </t>
  </si>
  <si>
    <t>H.G</t>
  </si>
  <si>
    <t>Computer</t>
  </si>
  <si>
    <t>Pashto</t>
  </si>
  <si>
    <t>Obtained Marks</t>
  </si>
  <si>
    <t>Per%</t>
  </si>
  <si>
    <t>Failed Subjects</t>
  </si>
  <si>
    <t>Remarks</t>
  </si>
  <si>
    <t>Position</t>
  </si>
  <si>
    <t>Mashooq Ali</t>
  </si>
  <si>
    <t>Javed</t>
  </si>
  <si>
    <t>Muhammad Khan</t>
  </si>
  <si>
    <t>Syed Mehmood</t>
  </si>
  <si>
    <t>Afaq Ahmad</t>
  </si>
  <si>
    <t>Noroz Khan</t>
  </si>
  <si>
    <t>Talha Hussain</t>
  </si>
  <si>
    <t>Abid Hussain</t>
  </si>
  <si>
    <t>Muhammad Bilal</t>
  </si>
  <si>
    <t>Farooq Zaman</t>
  </si>
  <si>
    <t>Muhammad Shaheer Khan</t>
  </si>
  <si>
    <t>Shad Ali</t>
  </si>
  <si>
    <t>Habib Ullah</t>
  </si>
  <si>
    <t>Mumtaz Ali</t>
  </si>
  <si>
    <t>A</t>
  </si>
  <si>
    <t>Muhammad Hamza Khan</t>
  </si>
  <si>
    <t>Badeeh Uz Zaman</t>
  </si>
  <si>
    <t>Hamza Wahab</t>
  </si>
  <si>
    <t>Abdul Wahab</t>
  </si>
  <si>
    <t>Shah Fahad</t>
  </si>
  <si>
    <t>Altaf Muhammad</t>
  </si>
  <si>
    <t>Faisal Ayan</t>
  </si>
  <si>
    <t>Liaqat Ali</t>
  </si>
  <si>
    <t>Third</t>
  </si>
  <si>
    <t>Muhammad Ali</t>
  </si>
  <si>
    <t>Muhammad Arif</t>
  </si>
  <si>
    <t>Hilal Ahmad</t>
  </si>
  <si>
    <t>Muhtaj Ali</t>
  </si>
  <si>
    <t>Haris Ahmad</t>
  </si>
  <si>
    <t>Iftikhar Ahmad</t>
  </si>
  <si>
    <t>Failed</t>
  </si>
  <si>
    <t>Muhammad Arsalan</t>
  </si>
  <si>
    <t>Muhammad Shayan</t>
  </si>
  <si>
    <t>Saif Ur Rahman</t>
  </si>
  <si>
    <t>Ahmad Ali</t>
  </si>
  <si>
    <t>Ashraf Ali</t>
  </si>
  <si>
    <t>Muhammad Hammad</t>
  </si>
  <si>
    <t>Gauhar Ali</t>
  </si>
  <si>
    <t>First</t>
  </si>
  <si>
    <t>Muhammad Talha</t>
  </si>
  <si>
    <t>Raza Gul</t>
  </si>
  <si>
    <t>Second</t>
  </si>
  <si>
    <t>Hamd Ullah</t>
  </si>
  <si>
    <t>Liaqat Ali Khan</t>
  </si>
  <si>
    <t>Muhammad Zulkifal</t>
  </si>
  <si>
    <t>Bakht Zaman</t>
  </si>
  <si>
    <t>Muhammad Awais</t>
  </si>
  <si>
    <t>Nazar Hussain</t>
  </si>
  <si>
    <t>Mustafa Kamal</t>
  </si>
  <si>
    <t>Israr Ullah</t>
  </si>
  <si>
    <t>Muhammad Khuzaifa</t>
  </si>
  <si>
    <t>Shah Wali Khan</t>
  </si>
  <si>
    <t>Muteeb Nasir</t>
  </si>
  <si>
    <t>Lal Zada</t>
  </si>
  <si>
    <t>Arshad Naeem</t>
  </si>
  <si>
    <t>Fazal Naeem</t>
  </si>
  <si>
    <t>Yaman Khan</t>
  </si>
  <si>
    <t>Arab Ali</t>
  </si>
  <si>
    <t>Shayan Khan</t>
  </si>
  <si>
    <t>Sameen Khan</t>
  </si>
  <si>
    <t>Muhammad Sudais</t>
  </si>
  <si>
    <t>Qasim Khan</t>
  </si>
  <si>
    <t>Abuzar Khan</t>
  </si>
  <si>
    <t>Said Ul Ameen</t>
  </si>
  <si>
    <t>Hamza Saim</t>
  </si>
  <si>
    <t>Muhammad Usman</t>
  </si>
  <si>
    <t>Abdul Haseeb</t>
  </si>
  <si>
    <t>Muhammad Islam</t>
  </si>
  <si>
    <t>Huzaifa Ahmad</t>
  </si>
  <si>
    <t>Rawaid Ali</t>
  </si>
  <si>
    <t>Muhammad Ali Shan</t>
  </si>
  <si>
    <t>Sher Nabi Khan</t>
  </si>
  <si>
    <t>Abdul Ahad</t>
  </si>
  <si>
    <t>Ahmad Khan</t>
  </si>
  <si>
    <t>Muhammad Uzair</t>
  </si>
  <si>
    <t>Mustaqim Shah</t>
  </si>
  <si>
    <t>Muhammad Salih</t>
  </si>
  <si>
    <t>Muhammad Fayaz</t>
  </si>
  <si>
    <t>Zohaib Khan</t>
  </si>
  <si>
    <t>Bahadar Khan</t>
  </si>
  <si>
    <t>Sudais Khan</t>
  </si>
  <si>
    <t>Muhammad Naeem</t>
  </si>
  <si>
    <t>Muhammad Shah Fahad</t>
  </si>
  <si>
    <t>Asad Ali</t>
  </si>
  <si>
    <t>Zeeshan Ahmad</t>
  </si>
  <si>
    <t>Zar Wali Khan</t>
  </si>
  <si>
    <t>Zahid Ullah</t>
  </si>
  <si>
    <t>Yousaf Khan</t>
  </si>
  <si>
    <t>Asif Zia</t>
  </si>
  <si>
    <t>Zia Ullah</t>
  </si>
  <si>
    <t>Rabnawaz</t>
  </si>
  <si>
    <t>Muhammad Jan</t>
  </si>
  <si>
    <t>Salih Khan</t>
  </si>
  <si>
    <t>Asad Ullah</t>
  </si>
  <si>
    <t>Anas Ahmad</t>
  </si>
  <si>
    <t>Fazal Malik</t>
  </si>
  <si>
    <t>Hizar Ali</t>
  </si>
  <si>
    <t>Umer Farooq</t>
  </si>
  <si>
    <t>Mukhtiar Ali</t>
  </si>
  <si>
    <t>30-07-2013</t>
  </si>
  <si>
    <t>Zain Muhammad</t>
  </si>
  <si>
    <t>Muhammad Sher</t>
  </si>
  <si>
    <t>Muhammad Sameer</t>
  </si>
  <si>
    <t>Miraj Gul</t>
  </si>
  <si>
    <t>Gul Rehman</t>
  </si>
  <si>
    <t>Muhammad Mustafa</t>
  </si>
  <si>
    <t>Wisal Muhammad</t>
  </si>
  <si>
    <t>Sajid Ullah</t>
  </si>
  <si>
    <t>Samaan Khan</t>
  </si>
  <si>
    <t>Sahibzada</t>
  </si>
  <si>
    <t>15-03-2013</t>
  </si>
  <si>
    <t>Muhammad Hasnain</t>
  </si>
  <si>
    <t>Arab Ali Khan</t>
  </si>
  <si>
    <t>16-07-2011</t>
  </si>
  <si>
    <t>Total Number of Students Appeared</t>
  </si>
  <si>
    <t>No.of Students Passed</t>
  </si>
  <si>
    <t>No.of Students Failed</t>
  </si>
  <si>
    <t>___________________</t>
  </si>
  <si>
    <t>_____________________</t>
  </si>
  <si>
    <t>____________________</t>
  </si>
  <si>
    <t>Incharge Examinations</t>
  </si>
  <si>
    <t>Prepared By</t>
  </si>
  <si>
    <t>Principal GHSS Adina (Swabi)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</si>
</sst>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2" numFmtId="164" xfId="0" applyAlignment="1" applyBorder="1" applyFont="1" applyNumberForma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2" fillId="0" fontId="3" numFmtId="164" xfId="0" applyAlignment="1" applyBorder="1" applyFont="1" applyNumberFormat="1">
      <alignment horizontal="center" shrinkToFit="0" wrapText="1"/>
    </xf>
    <xf borderId="2" fillId="0" fontId="3" numFmtId="9" xfId="0" applyAlignment="1" applyBorder="1" applyFont="1" applyNumberFormat="1">
      <alignment horizontal="center" shrinkToFit="0" wrapText="1"/>
    </xf>
    <xf borderId="0" fillId="0" fontId="4" numFmtId="0" xfId="0" applyFont="1"/>
    <xf borderId="2" fillId="2" fontId="3" numFmtId="0" xfId="0" applyAlignment="1" applyBorder="1" applyFill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3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0.57"/>
    <col customWidth="1" min="3" max="3" width="19.57"/>
    <col customWidth="1" min="4" max="4" width="17.86"/>
    <col customWidth="1" min="5" max="5" width="11.43"/>
    <col customWidth="1" min="6" max="6" width="8.29"/>
    <col customWidth="1" min="7" max="7" width="6.71"/>
    <col customWidth="1" min="8" max="8" width="6.86"/>
    <col customWidth="1" min="9" max="9" width="6.43"/>
    <col customWidth="1" min="10" max="10" width="8.0"/>
    <col customWidth="1" min="11" max="11" width="6.71"/>
    <col customWidth="1" min="12" max="12" width="6.29"/>
    <col customWidth="1" min="13" max="13" width="9.14"/>
    <col customWidth="1" min="14" max="14" width="6.86"/>
    <col customWidth="1" min="15" max="15" width="9.14"/>
    <col customWidth="1" min="16" max="16" width="7.57"/>
    <col customWidth="1" hidden="1" min="17" max="17" width="8.71"/>
    <col customWidth="1" min="18" max="18" width="8.29"/>
    <col customWidth="1" min="19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4" t="s">
        <v>19</v>
      </c>
    </row>
    <row r="3">
      <c r="A3" s="5">
        <v>1.0</v>
      </c>
      <c r="B3" s="5">
        <v>7720.0</v>
      </c>
      <c r="C3" s="5" t="s">
        <v>20</v>
      </c>
      <c r="D3" s="5" t="s">
        <v>21</v>
      </c>
      <c r="E3" s="6">
        <v>41014.0</v>
      </c>
      <c r="F3" s="5">
        <v>33.0</v>
      </c>
      <c r="G3" s="5">
        <v>35.0</v>
      </c>
      <c r="H3" s="5">
        <v>30.0</v>
      </c>
      <c r="I3" s="5">
        <v>8.0</v>
      </c>
      <c r="J3" s="5">
        <v>12.0</v>
      </c>
      <c r="K3" s="5">
        <v>18.0</v>
      </c>
      <c r="L3" s="5">
        <v>22.0</v>
      </c>
      <c r="M3" s="5">
        <v>33.0</v>
      </c>
      <c r="N3" s="5">
        <v>22.0</v>
      </c>
      <c r="O3" s="5">
        <f t="shared" ref="O3:O60" si="1">SUM(F3:N3)</f>
        <v>213</v>
      </c>
      <c r="P3" s="7">
        <f t="shared" ref="P3:P60" si="2">O3/850</f>
        <v>0.2505882353</v>
      </c>
      <c r="Q3" s="5">
        <v>4.0</v>
      </c>
      <c r="R3" s="5"/>
      <c r="S3" s="8">
        <f t="shared" ref="S3:S60" si="3">RANK(O3,$O$3:$O$60)</f>
        <v>40</v>
      </c>
    </row>
    <row r="4">
      <c r="A4" s="5">
        <v>2.0</v>
      </c>
      <c r="B4" s="5">
        <v>7725.0</v>
      </c>
      <c r="C4" s="5" t="s">
        <v>22</v>
      </c>
      <c r="D4" s="5" t="s">
        <v>23</v>
      </c>
      <c r="E4" s="6">
        <v>41004.0</v>
      </c>
      <c r="F4" s="5">
        <v>40.0</v>
      </c>
      <c r="G4" s="5">
        <v>33.0</v>
      </c>
      <c r="H4" s="5">
        <v>6.0</v>
      </c>
      <c r="I4" s="5">
        <v>47.0</v>
      </c>
      <c r="J4" s="5">
        <v>20.0</v>
      </c>
      <c r="K4" s="5">
        <v>21.0</v>
      </c>
      <c r="L4" s="5">
        <v>28.0</v>
      </c>
      <c r="M4" s="5">
        <v>40.0</v>
      </c>
      <c r="N4" s="5">
        <v>33.0</v>
      </c>
      <c r="O4" s="5">
        <f t="shared" si="1"/>
        <v>268</v>
      </c>
      <c r="P4" s="7">
        <f t="shared" si="2"/>
        <v>0.3152941176</v>
      </c>
      <c r="Q4" s="5">
        <v>2.0</v>
      </c>
      <c r="R4" s="5"/>
      <c r="S4" s="8">
        <f t="shared" si="3"/>
        <v>26</v>
      </c>
    </row>
    <row r="5">
      <c r="A5" s="5">
        <v>3.0</v>
      </c>
      <c r="B5" s="5">
        <v>7728.0</v>
      </c>
      <c r="C5" s="5" t="s">
        <v>24</v>
      </c>
      <c r="D5" s="5" t="s">
        <v>25</v>
      </c>
      <c r="E5" s="6">
        <v>40998.0</v>
      </c>
      <c r="F5" s="5">
        <v>33.0</v>
      </c>
      <c r="G5" s="5">
        <v>29.0</v>
      </c>
      <c r="H5" s="5">
        <v>36.0</v>
      </c>
      <c r="I5" s="5">
        <v>29.0</v>
      </c>
      <c r="J5" s="5">
        <v>8.0</v>
      </c>
      <c r="K5" s="5">
        <v>24.0</v>
      </c>
      <c r="L5" s="5">
        <v>8.0</v>
      </c>
      <c r="M5" s="5">
        <v>35.0</v>
      </c>
      <c r="N5" s="5">
        <v>29.0</v>
      </c>
      <c r="O5" s="5">
        <f t="shared" si="1"/>
        <v>231</v>
      </c>
      <c r="P5" s="7">
        <f t="shared" si="2"/>
        <v>0.2717647059</v>
      </c>
      <c r="Q5" s="5">
        <v>2.0</v>
      </c>
      <c r="R5" s="5"/>
      <c r="S5" s="8">
        <f t="shared" si="3"/>
        <v>34</v>
      </c>
    </row>
    <row r="6">
      <c r="A6" s="5">
        <v>4.0</v>
      </c>
      <c r="B6" s="5">
        <v>7737.0</v>
      </c>
      <c r="C6" s="5" t="s">
        <v>26</v>
      </c>
      <c r="D6" s="5" t="s">
        <v>27</v>
      </c>
      <c r="E6" s="6">
        <v>41268.0</v>
      </c>
      <c r="F6" s="5">
        <v>35.0</v>
      </c>
      <c r="G6" s="5">
        <v>34.0</v>
      </c>
      <c r="H6" s="5">
        <v>24.0</v>
      </c>
      <c r="I6" s="5">
        <v>5.0</v>
      </c>
      <c r="J6" s="5">
        <v>12.0</v>
      </c>
      <c r="K6" s="5">
        <v>17.0</v>
      </c>
      <c r="L6" s="5">
        <v>12.0</v>
      </c>
      <c r="M6" s="5">
        <v>29.0</v>
      </c>
      <c r="N6" s="5">
        <v>35.0</v>
      </c>
      <c r="O6" s="5">
        <f t="shared" si="1"/>
        <v>203</v>
      </c>
      <c r="P6" s="7">
        <f t="shared" si="2"/>
        <v>0.2388235294</v>
      </c>
      <c r="Q6" s="5">
        <v>4.0</v>
      </c>
      <c r="R6" s="5"/>
      <c r="S6" s="8">
        <f t="shared" si="3"/>
        <v>43</v>
      </c>
    </row>
    <row r="7">
      <c r="A7" s="5">
        <v>5.0</v>
      </c>
      <c r="B7" s="5">
        <v>7744.0</v>
      </c>
      <c r="C7" s="5" t="s">
        <v>28</v>
      </c>
      <c r="D7" s="5" t="s">
        <v>29</v>
      </c>
      <c r="E7" s="6">
        <v>40991.0</v>
      </c>
      <c r="F7" s="5">
        <v>38.0</v>
      </c>
      <c r="G7" s="5">
        <v>38.0</v>
      </c>
      <c r="H7" s="5">
        <v>11.0</v>
      </c>
      <c r="I7" s="5">
        <v>9.0</v>
      </c>
      <c r="J7" s="5">
        <v>16.0</v>
      </c>
      <c r="K7" s="5">
        <v>19.0</v>
      </c>
      <c r="L7" s="5">
        <v>16.0</v>
      </c>
      <c r="M7" s="5">
        <v>40.0</v>
      </c>
      <c r="N7" s="5">
        <v>35.0</v>
      </c>
      <c r="O7" s="5">
        <f t="shared" si="1"/>
        <v>222</v>
      </c>
      <c r="P7" s="7">
        <f t="shared" si="2"/>
        <v>0.2611764706</v>
      </c>
      <c r="Q7" s="5">
        <v>4.0</v>
      </c>
      <c r="R7" s="5"/>
      <c r="S7" s="8">
        <f t="shared" si="3"/>
        <v>38</v>
      </c>
    </row>
    <row r="8">
      <c r="A8" s="5">
        <v>6.0</v>
      </c>
      <c r="B8" s="5">
        <v>7741.0</v>
      </c>
      <c r="C8" s="5" t="s">
        <v>30</v>
      </c>
      <c r="D8" s="5" t="s">
        <v>31</v>
      </c>
      <c r="E8" s="6">
        <v>39818.0</v>
      </c>
      <c r="F8" s="5">
        <v>33.0</v>
      </c>
      <c r="G8" s="5">
        <v>33.0</v>
      </c>
      <c r="H8" s="5">
        <v>12.0</v>
      </c>
      <c r="I8" s="5">
        <v>10.0</v>
      </c>
      <c r="J8" s="5">
        <v>8.0</v>
      </c>
      <c r="K8" s="5">
        <v>18.0</v>
      </c>
      <c r="L8" s="5">
        <v>11.0</v>
      </c>
      <c r="M8" s="5">
        <v>27.0</v>
      </c>
      <c r="N8" s="5">
        <v>40.0</v>
      </c>
      <c r="O8" s="5">
        <f t="shared" si="1"/>
        <v>192</v>
      </c>
      <c r="P8" s="7">
        <f t="shared" si="2"/>
        <v>0.2258823529</v>
      </c>
      <c r="Q8" s="5">
        <v>4.0</v>
      </c>
      <c r="R8" s="5"/>
      <c r="S8" s="8">
        <f t="shared" si="3"/>
        <v>45</v>
      </c>
    </row>
    <row r="9">
      <c r="A9" s="5">
        <v>7.0</v>
      </c>
      <c r="B9" s="5">
        <v>7798.0</v>
      </c>
      <c r="C9" s="5" t="s">
        <v>32</v>
      </c>
      <c r="D9" s="5" t="s">
        <v>33</v>
      </c>
      <c r="E9" s="6">
        <v>40576.0</v>
      </c>
      <c r="F9" s="5">
        <v>35.0</v>
      </c>
      <c r="G9" s="5">
        <v>33.0</v>
      </c>
      <c r="H9" s="5">
        <v>8.0</v>
      </c>
      <c r="I9" s="9" t="s">
        <v>34</v>
      </c>
      <c r="J9" s="5">
        <v>18.0</v>
      </c>
      <c r="K9" s="5">
        <v>20.0</v>
      </c>
      <c r="L9" s="5">
        <v>25.0</v>
      </c>
      <c r="M9" s="5">
        <v>33.0</v>
      </c>
      <c r="N9" s="5">
        <v>33.0</v>
      </c>
      <c r="O9" s="5">
        <f t="shared" si="1"/>
        <v>205</v>
      </c>
      <c r="P9" s="7">
        <f t="shared" si="2"/>
        <v>0.2411764706</v>
      </c>
      <c r="Q9" s="5">
        <f t="shared" ref="Q9:Q13" si="4">COUNTIF(F9:N9,"&lt;25")</f>
        <v>3</v>
      </c>
      <c r="R9" s="5"/>
      <c r="S9" s="8">
        <f t="shared" si="3"/>
        <v>42</v>
      </c>
    </row>
    <row r="10">
      <c r="A10" s="5">
        <v>8.0</v>
      </c>
      <c r="B10" s="5">
        <v>7851.0</v>
      </c>
      <c r="C10" s="5" t="s">
        <v>35</v>
      </c>
      <c r="D10" s="5" t="s">
        <v>36</v>
      </c>
      <c r="E10" s="6">
        <v>41672.0</v>
      </c>
      <c r="F10" s="5">
        <v>40.0</v>
      </c>
      <c r="G10" s="5">
        <v>84.0</v>
      </c>
      <c r="H10" s="5">
        <v>53.0</v>
      </c>
      <c r="I10" s="5">
        <v>44.0</v>
      </c>
      <c r="J10" s="5">
        <v>83.0</v>
      </c>
      <c r="K10" s="5">
        <v>41.0</v>
      </c>
      <c r="L10" s="5">
        <v>46.0</v>
      </c>
      <c r="M10" s="5">
        <v>51.0</v>
      </c>
      <c r="N10" s="5">
        <v>77.0</v>
      </c>
      <c r="O10" s="5">
        <f t="shared" si="1"/>
        <v>519</v>
      </c>
      <c r="P10" s="7">
        <f t="shared" si="2"/>
        <v>0.6105882353</v>
      </c>
      <c r="Q10" s="5">
        <f t="shared" si="4"/>
        <v>0</v>
      </c>
      <c r="R10" s="5"/>
      <c r="S10" s="8">
        <f t="shared" si="3"/>
        <v>5</v>
      </c>
    </row>
    <row r="11">
      <c r="A11" s="5">
        <v>9.0</v>
      </c>
      <c r="B11" s="5">
        <v>7853.0</v>
      </c>
      <c r="C11" s="5" t="s">
        <v>37</v>
      </c>
      <c r="D11" s="5" t="s">
        <v>38</v>
      </c>
      <c r="E11" s="6">
        <v>41345.0</v>
      </c>
      <c r="F11" s="5">
        <v>18.0</v>
      </c>
      <c r="G11" s="5">
        <v>51.0</v>
      </c>
      <c r="H11" s="5">
        <v>33.0</v>
      </c>
      <c r="I11" s="5">
        <v>36.0</v>
      </c>
      <c r="J11" s="5">
        <v>34.0</v>
      </c>
      <c r="K11" s="5">
        <v>30.0</v>
      </c>
      <c r="L11" s="5">
        <v>28.0</v>
      </c>
      <c r="M11" s="5">
        <v>28.0</v>
      </c>
      <c r="N11" s="5">
        <v>65.0</v>
      </c>
      <c r="O11" s="5">
        <f t="shared" si="1"/>
        <v>323</v>
      </c>
      <c r="P11" s="7">
        <f t="shared" si="2"/>
        <v>0.38</v>
      </c>
      <c r="Q11" s="5">
        <f t="shared" si="4"/>
        <v>1</v>
      </c>
      <c r="R11" s="5"/>
      <c r="S11" s="8">
        <f t="shared" si="3"/>
        <v>20</v>
      </c>
    </row>
    <row r="12">
      <c r="A12" s="5">
        <v>10.0</v>
      </c>
      <c r="B12" s="5">
        <v>7854.0</v>
      </c>
      <c r="C12" s="5" t="s">
        <v>39</v>
      </c>
      <c r="D12" s="5" t="s">
        <v>40</v>
      </c>
      <c r="E12" s="6">
        <v>41341.0</v>
      </c>
      <c r="F12" s="5">
        <v>59.0</v>
      </c>
      <c r="G12" s="5">
        <v>68.0</v>
      </c>
      <c r="H12" s="5">
        <v>34.0</v>
      </c>
      <c r="I12" s="5">
        <v>47.0</v>
      </c>
      <c r="J12" s="5">
        <v>55.0</v>
      </c>
      <c r="K12" s="5">
        <v>34.0</v>
      </c>
      <c r="L12" s="5">
        <v>36.0</v>
      </c>
      <c r="M12" s="5">
        <v>67.0</v>
      </c>
      <c r="N12" s="5">
        <v>68.0</v>
      </c>
      <c r="O12" s="5">
        <f t="shared" si="1"/>
        <v>468</v>
      </c>
      <c r="P12" s="7">
        <f t="shared" si="2"/>
        <v>0.5505882353</v>
      </c>
      <c r="Q12" s="5">
        <f t="shared" si="4"/>
        <v>0</v>
      </c>
      <c r="R12" s="5"/>
      <c r="S12" s="8">
        <f t="shared" si="3"/>
        <v>13</v>
      </c>
    </row>
    <row r="13">
      <c r="A13" s="5">
        <v>11.0</v>
      </c>
      <c r="B13" s="5">
        <v>7855.0</v>
      </c>
      <c r="C13" s="5" t="s">
        <v>41</v>
      </c>
      <c r="D13" s="5" t="s">
        <v>42</v>
      </c>
      <c r="E13" s="6">
        <v>41369.0</v>
      </c>
      <c r="F13" s="5">
        <v>51.0</v>
      </c>
      <c r="G13" s="5">
        <v>89.0</v>
      </c>
      <c r="H13" s="5">
        <v>45.0</v>
      </c>
      <c r="I13" s="5">
        <v>55.0</v>
      </c>
      <c r="J13" s="5">
        <v>75.0</v>
      </c>
      <c r="K13" s="5">
        <v>44.0</v>
      </c>
      <c r="L13" s="5">
        <v>43.0</v>
      </c>
      <c r="M13" s="5">
        <v>95.0</v>
      </c>
      <c r="N13" s="5">
        <v>75.0</v>
      </c>
      <c r="O13" s="5">
        <f t="shared" si="1"/>
        <v>572</v>
      </c>
      <c r="P13" s="7">
        <f t="shared" si="2"/>
        <v>0.6729411765</v>
      </c>
      <c r="Q13" s="5">
        <f t="shared" si="4"/>
        <v>0</v>
      </c>
      <c r="R13" s="10" t="s">
        <v>43</v>
      </c>
      <c r="S13" s="8">
        <f t="shared" si="3"/>
        <v>3</v>
      </c>
    </row>
    <row r="14">
      <c r="A14" s="5">
        <v>12.0</v>
      </c>
      <c r="B14" s="5">
        <v>7856.0</v>
      </c>
      <c r="C14" s="5" t="s">
        <v>44</v>
      </c>
      <c r="D14" s="5" t="s">
        <v>45</v>
      </c>
      <c r="E14" s="6">
        <v>41401.0</v>
      </c>
      <c r="F14" s="5">
        <v>43.0</v>
      </c>
      <c r="G14" s="5">
        <v>44.0</v>
      </c>
      <c r="H14" s="5">
        <v>28.0</v>
      </c>
      <c r="I14" s="5">
        <v>53.0</v>
      </c>
      <c r="J14" s="5">
        <v>38.0</v>
      </c>
      <c r="K14" s="5">
        <v>23.0</v>
      </c>
      <c r="L14" s="5">
        <v>35.0</v>
      </c>
      <c r="M14" s="5">
        <v>40.0</v>
      </c>
      <c r="N14" s="5">
        <v>38.0</v>
      </c>
      <c r="O14" s="5">
        <f t="shared" si="1"/>
        <v>342</v>
      </c>
      <c r="P14" s="7">
        <f t="shared" si="2"/>
        <v>0.4023529412</v>
      </c>
      <c r="Q14" s="5">
        <v>0.0</v>
      </c>
      <c r="R14" s="5"/>
      <c r="S14" s="8">
        <f t="shared" si="3"/>
        <v>18</v>
      </c>
    </row>
    <row r="15">
      <c r="A15" s="5">
        <v>13.0</v>
      </c>
      <c r="B15" s="5">
        <v>7857.0</v>
      </c>
      <c r="C15" s="5" t="s">
        <v>46</v>
      </c>
      <c r="D15" s="5" t="s">
        <v>47</v>
      </c>
      <c r="E15" s="6">
        <v>41374.0</v>
      </c>
      <c r="F15" s="5">
        <v>34.0</v>
      </c>
      <c r="G15" s="5">
        <v>33.0</v>
      </c>
      <c r="H15" s="5">
        <v>26.0</v>
      </c>
      <c r="I15" s="5">
        <v>10.0</v>
      </c>
      <c r="J15" s="5">
        <v>16.0</v>
      </c>
      <c r="K15" s="5">
        <v>21.0</v>
      </c>
      <c r="L15" s="5">
        <v>10.0</v>
      </c>
      <c r="M15" s="5">
        <v>30.0</v>
      </c>
      <c r="N15" s="5">
        <v>48.0</v>
      </c>
      <c r="O15" s="5">
        <f t="shared" si="1"/>
        <v>228</v>
      </c>
      <c r="P15" s="7">
        <f t="shared" si="2"/>
        <v>0.2682352941</v>
      </c>
      <c r="Q15" s="5">
        <v>3.0</v>
      </c>
      <c r="R15" s="5"/>
      <c r="S15" s="8">
        <f t="shared" si="3"/>
        <v>35</v>
      </c>
    </row>
    <row r="16">
      <c r="A16" s="5">
        <v>14.0</v>
      </c>
      <c r="B16" s="5">
        <v>7858.0</v>
      </c>
      <c r="C16" s="5" t="s">
        <v>48</v>
      </c>
      <c r="D16" s="5" t="s">
        <v>49</v>
      </c>
      <c r="E16" s="6">
        <v>41343.0</v>
      </c>
      <c r="F16" s="5">
        <v>10.0</v>
      </c>
      <c r="G16" s="5">
        <v>14.0</v>
      </c>
      <c r="H16" s="5">
        <v>4.0</v>
      </c>
      <c r="I16" s="5">
        <v>6.0</v>
      </c>
      <c r="J16" s="5">
        <v>14.0</v>
      </c>
      <c r="K16" s="5">
        <v>13.0</v>
      </c>
      <c r="L16" s="5">
        <v>10.0</v>
      </c>
      <c r="M16" s="5">
        <v>12.0</v>
      </c>
      <c r="N16" s="5">
        <v>5.0</v>
      </c>
      <c r="O16" s="5">
        <f t="shared" si="1"/>
        <v>88</v>
      </c>
      <c r="P16" s="7">
        <f t="shared" si="2"/>
        <v>0.1035294118</v>
      </c>
      <c r="Q16" s="5">
        <f>COUNTIF(F16:N16,"&lt;25")</f>
        <v>9</v>
      </c>
      <c r="R16" s="5" t="s">
        <v>50</v>
      </c>
      <c r="S16" s="8">
        <f t="shared" si="3"/>
        <v>57</v>
      </c>
    </row>
    <row r="17">
      <c r="A17" s="5">
        <v>15.0</v>
      </c>
      <c r="B17" s="5">
        <v>7859.0</v>
      </c>
      <c r="C17" s="5" t="s">
        <v>51</v>
      </c>
      <c r="D17" s="5" t="s">
        <v>42</v>
      </c>
      <c r="E17" s="6">
        <v>40996.0</v>
      </c>
      <c r="F17" s="5">
        <v>25.0</v>
      </c>
      <c r="G17" s="5">
        <v>30.0</v>
      </c>
      <c r="H17" s="5">
        <v>26.0</v>
      </c>
      <c r="I17" s="5">
        <v>7.0</v>
      </c>
      <c r="J17" s="5">
        <v>21.0</v>
      </c>
      <c r="K17" s="5">
        <v>19.0</v>
      </c>
      <c r="L17" s="5">
        <v>26.0</v>
      </c>
      <c r="M17" s="5">
        <v>54.0</v>
      </c>
      <c r="N17" s="5">
        <v>25.0</v>
      </c>
      <c r="O17" s="5">
        <f t="shared" si="1"/>
        <v>233</v>
      </c>
      <c r="P17" s="7">
        <f t="shared" si="2"/>
        <v>0.2741176471</v>
      </c>
      <c r="Q17" s="5">
        <v>2.0</v>
      </c>
      <c r="R17" s="5"/>
      <c r="S17" s="8">
        <f t="shared" si="3"/>
        <v>31</v>
      </c>
    </row>
    <row r="18">
      <c r="A18" s="5">
        <v>16.0</v>
      </c>
      <c r="B18" s="5">
        <v>7860.0</v>
      </c>
      <c r="C18" s="5" t="s">
        <v>52</v>
      </c>
      <c r="D18" s="5" t="s">
        <v>53</v>
      </c>
      <c r="E18" s="6">
        <v>40988.0</v>
      </c>
      <c r="F18" s="5">
        <v>10.0</v>
      </c>
      <c r="G18" s="5">
        <v>12.0</v>
      </c>
      <c r="H18" s="5">
        <v>17.0</v>
      </c>
      <c r="I18" s="5">
        <v>7.0</v>
      </c>
      <c r="J18" s="5">
        <v>13.0</v>
      </c>
      <c r="K18" s="5">
        <v>17.0</v>
      </c>
      <c r="L18" s="5">
        <v>34.0</v>
      </c>
      <c r="M18" s="5">
        <v>27.0</v>
      </c>
      <c r="N18" s="5">
        <v>26.0</v>
      </c>
      <c r="O18" s="5">
        <f t="shared" si="1"/>
        <v>163</v>
      </c>
      <c r="P18" s="7">
        <f t="shared" si="2"/>
        <v>0.1917647059</v>
      </c>
      <c r="Q18" s="5">
        <v>5.0</v>
      </c>
      <c r="R18" s="5"/>
      <c r="S18" s="8">
        <f t="shared" si="3"/>
        <v>51</v>
      </c>
    </row>
    <row r="19">
      <c r="A19" s="5">
        <v>17.0</v>
      </c>
      <c r="B19" s="5">
        <v>7862.0</v>
      </c>
      <c r="C19" s="5" t="s">
        <v>54</v>
      </c>
      <c r="D19" s="5" t="s">
        <v>55</v>
      </c>
      <c r="E19" s="6">
        <v>41373.0</v>
      </c>
      <c r="F19" s="5">
        <v>48.0</v>
      </c>
      <c r="G19" s="5">
        <v>36.0</v>
      </c>
      <c r="H19" s="5">
        <v>8.0</v>
      </c>
      <c r="I19" s="5">
        <v>36.0</v>
      </c>
      <c r="J19" s="5">
        <v>35.0</v>
      </c>
      <c r="K19" s="5">
        <v>20.0</v>
      </c>
      <c r="L19" s="5">
        <v>22.0</v>
      </c>
      <c r="M19" s="5">
        <v>36.0</v>
      </c>
      <c r="N19" s="5">
        <v>23.0</v>
      </c>
      <c r="O19" s="5">
        <f t="shared" si="1"/>
        <v>264</v>
      </c>
      <c r="P19" s="7">
        <f t="shared" si="2"/>
        <v>0.3105882353</v>
      </c>
      <c r="Q19" s="5">
        <v>3.0</v>
      </c>
      <c r="R19" s="5"/>
      <c r="S19" s="8">
        <f t="shared" si="3"/>
        <v>28</v>
      </c>
    </row>
    <row r="20">
      <c r="A20" s="5">
        <v>18.0</v>
      </c>
      <c r="B20" s="5">
        <v>7863.0</v>
      </c>
      <c r="C20" s="5" t="s">
        <v>22</v>
      </c>
      <c r="D20" s="5" t="s">
        <v>55</v>
      </c>
      <c r="E20" s="6">
        <v>41353.0</v>
      </c>
      <c r="F20" s="5">
        <v>8.0</v>
      </c>
      <c r="G20" s="5">
        <v>17.0</v>
      </c>
      <c r="H20" s="5">
        <v>4.0</v>
      </c>
      <c r="I20" s="5">
        <v>26.0</v>
      </c>
      <c r="J20" s="5">
        <v>8.0</v>
      </c>
      <c r="K20" s="5">
        <v>18.0</v>
      </c>
      <c r="L20" s="5">
        <v>18.0</v>
      </c>
      <c r="M20" s="5">
        <v>11.0</v>
      </c>
      <c r="N20" s="5">
        <v>22.0</v>
      </c>
      <c r="O20" s="5">
        <f t="shared" si="1"/>
        <v>132</v>
      </c>
      <c r="P20" s="7">
        <f t="shared" si="2"/>
        <v>0.1552941176</v>
      </c>
      <c r="Q20" s="5">
        <v>7.0</v>
      </c>
      <c r="R20" s="5" t="s">
        <v>50</v>
      </c>
      <c r="S20" s="8">
        <f t="shared" si="3"/>
        <v>53</v>
      </c>
    </row>
    <row r="21" ht="15.75" customHeight="1">
      <c r="A21" s="5">
        <v>19.0</v>
      </c>
      <c r="B21" s="5">
        <v>7865.0</v>
      </c>
      <c r="C21" s="5" t="s">
        <v>56</v>
      </c>
      <c r="D21" s="5" t="s">
        <v>57</v>
      </c>
      <c r="E21" s="6">
        <v>41377.0</v>
      </c>
      <c r="F21" s="5">
        <v>82.0</v>
      </c>
      <c r="G21" s="5">
        <v>94.0</v>
      </c>
      <c r="H21" s="5">
        <v>70.0</v>
      </c>
      <c r="I21" s="5">
        <v>92.0</v>
      </c>
      <c r="J21" s="5">
        <v>91.0</v>
      </c>
      <c r="K21" s="5">
        <v>44.0</v>
      </c>
      <c r="L21" s="5">
        <v>61.0</v>
      </c>
      <c r="M21" s="5">
        <v>99.0</v>
      </c>
      <c r="N21" s="5">
        <v>79.0</v>
      </c>
      <c r="O21" s="5">
        <f t="shared" si="1"/>
        <v>712</v>
      </c>
      <c r="P21" s="7">
        <f t="shared" si="2"/>
        <v>0.8376470588</v>
      </c>
      <c r="Q21" s="5">
        <f t="shared" ref="Q21:Q22" si="5">COUNTIF(F21:N21,"&lt;25")</f>
        <v>0</v>
      </c>
      <c r="R21" s="10" t="s">
        <v>58</v>
      </c>
      <c r="S21" s="8">
        <f t="shared" si="3"/>
        <v>1</v>
      </c>
    </row>
    <row r="22" ht="15.75" customHeight="1">
      <c r="A22" s="5">
        <v>20.0</v>
      </c>
      <c r="B22" s="5">
        <v>7866.0</v>
      </c>
      <c r="C22" s="5" t="s">
        <v>59</v>
      </c>
      <c r="D22" s="5" t="s">
        <v>60</v>
      </c>
      <c r="E22" s="6">
        <v>41342.0</v>
      </c>
      <c r="F22" s="5">
        <v>66.0</v>
      </c>
      <c r="G22" s="5">
        <v>96.0</v>
      </c>
      <c r="H22" s="5">
        <v>73.0</v>
      </c>
      <c r="I22" s="5">
        <v>58.0</v>
      </c>
      <c r="J22" s="5">
        <v>88.0</v>
      </c>
      <c r="K22" s="5">
        <v>39.0</v>
      </c>
      <c r="L22" s="5">
        <v>49.0</v>
      </c>
      <c r="M22" s="5">
        <v>93.0</v>
      </c>
      <c r="N22" s="5">
        <v>86.0</v>
      </c>
      <c r="O22" s="5">
        <f t="shared" si="1"/>
        <v>648</v>
      </c>
      <c r="P22" s="7">
        <f t="shared" si="2"/>
        <v>0.7623529412</v>
      </c>
      <c r="Q22" s="5">
        <f t="shared" si="5"/>
        <v>0</v>
      </c>
      <c r="R22" s="10" t="s">
        <v>61</v>
      </c>
      <c r="S22" s="8">
        <f t="shared" si="3"/>
        <v>2</v>
      </c>
    </row>
    <row r="23" ht="15.75" customHeight="1">
      <c r="A23" s="5">
        <v>21.0</v>
      </c>
      <c r="B23" s="5">
        <v>7867.0</v>
      </c>
      <c r="C23" s="5" t="s">
        <v>62</v>
      </c>
      <c r="D23" s="5" t="s">
        <v>63</v>
      </c>
      <c r="E23" s="6">
        <v>41222.0</v>
      </c>
      <c r="F23" s="5">
        <v>64.0</v>
      </c>
      <c r="G23" s="5">
        <v>55.0</v>
      </c>
      <c r="H23" s="5">
        <v>39.0</v>
      </c>
      <c r="I23" s="5">
        <v>61.0</v>
      </c>
      <c r="J23" s="5">
        <v>34.0</v>
      </c>
      <c r="K23" s="5">
        <v>19.0</v>
      </c>
      <c r="L23" s="5">
        <v>26.0</v>
      </c>
      <c r="M23" s="5">
        <v>68.0</v>
      </c>
      <c r="N23" s="5">
        <v>50.0</v>
      </c>
      <c r="O23" s="5">
        <f t="shared" si="1"/>
        <v>416</v>
      </c>
      <c r="P23" s="7">
        <f t="shared" si="2"/>
        <v>0.4894117647</v>
      </c>
      <c r="Q23" s="5">
        <v>0.0</v>
      </c>
      <c r="R23" s="5"/>
      <c r="S23" s="8">
        <f t="shared" si="3"/>
        <v>14</v>
      </c>
    </row>
    <row r="24" ht="15.75" customHeight="1">
      <c r="A24" s="5">
        <v>22.0</v>
      </c>
      <c r="B24" s="5">
        <v>7869.0</v>
      </c>
      <c r="C24" s="5" t="s">
        <v>64</v>
      </c>
      <c r="D24" s="5" t="s">
        <v>65</v>
      </c>
      <c r="E24" s="6">
        <v>41710.0</v>
      </c>
      <c r="F24" s="5">
        <v>58.0</v>
      </c>
      <c r="G24" s="5">
        <v>84.0</v>
      </c>
      <c r="H24" s="5">
        <v>46.0</v>
      </c>
      <c r="I24" s="5">
        <v>63.0</v>
      </c>
      <c r="J24" s="5">
        <v>49.0</v>
      </c>
      <c r="K24" s="5">
        <v>32.0</v>
      </c>
      <c r="L24" s="5">
        <v>37.0</v>
      </c>
      <c r="M24" s="5">
        <v>81.0</v>
      </c>
      <c r="N24" s="5">
        <v>68.0</v>
      </c>
      <c r="O24" s="5">
        <f t="shared" si="1"/>
        <v>518</v>
      </c>
      <c r="P24" s="7">
        <f t="shared" si="2"/>
        <v>0.6094117647</v>
      </c>
      <c r="Q24" s="5">
        <f>COUNTIF(F24:N24,"&lt;25")</f>
        <v>0</v>
      </c>
      <c r="R24" s="5"/>
      <c r="S24" s="8">
        <f t="shared" si="3"/>
        <v>6</v>
      </c>
    </row>
    <row r="25" ht="15.75" customHeight="1">
      <c r="A25" s="5">
        <v>23.0</v>
      </c>
      <c r="B25" s="5">
        <v>7870.0</v>
      </c>
      <c r="C25" s="5" t="s">
        <v>66</v>
      </c>
      <c r="D25" s="5" t="s">
        <v>67</v>
      </c>
      <c r="E25" s="6">
        <v>41723.0</v>
      </c>
      <c r="F25" s="5">
        <v>44.0</v>
      </c>
      <c r="G25" s="5">
        <v>47.0</v>
      </c>
      <c r="H25" s="5">
        <v>49.0</v>
      </c>
      <c r="I25" s="5">
        <v>47.0</v>
      </c>
      <c r="J25" s="5">
        <v>20.0</v>
      </c>
      <c r="K25" s="5">
        <v>21.0</v>
      </c>
      <c r="L25" s="5">
        <v>34.0</v>
      </c>
      <c r="M25" s="5">
        <v>33.0</v>
      </c>
      <c r="N25" s="5">
        <v>15.0</v>
      </c>
      <c r="O25" s="5">
        <f t="shared" si="1"/>
        <v>310</v>
      </c>
      <c r="P25" s="7">
        <f t="shared" si="2"/>
        <v>0.3647058824</v>
      </c>
      <c r="Q25" s="5">
        <v>2.0</v>
      </c>
      <c r="R25" s="5"/>
      <c r="S25" s="8">
        <f t="shared" si="3"/>
        <v>21</v>
      </c>
    </row>
    <row r="26" ht="15.75" customHeight="1">
      <c r="A26" s="5">
        <v>24.0</v>
      </c>
      <c r="B26" s="5">
        <v>7871.0</v>
      </c>
      <c r="C26" s="5" t="s">
        <v>68</v>
      </c>
      <c r="D26" s="5" t="s">
        <v>69</v>
      </c>
      <c r="E26" s="6">
        <v>41005.0</v>
      </c>
      <c r="F26" s="5">
        <v>46.0</v>
      </c>
      <c r="G26" s="5">
        <v>46.0</v>
      </c>
      <c r="H26" s="5">
        <v>20.0</v>
      </c>
      <c r="I26" s="5">
        <v>65.0</v>
      </c>
      <c r="J26" s="5">
        <v>20.0</v>
      </c>
      <c r="K26" s="5">
        <v>17.0</v>
      </c>
      <c r="L26" s="5">
        <v>23.0</v>
      </c>
      <c r="M26" s="5">
        <v>12.0</v>
      </c>
      <c r="N26" s="5">
        <v>27.0</v>
      </c>
      <c r="O26" s="5">
        <f t="shared" si="1"/>
        <v>276</v>
      </c>
      <c r="P26" s="7">
        <f t="shared" si="2"/>
        <v>0.3247058824</v>
      </c>
      <c r="Q26" s="5">
        <v>4.0</v>
      </c>
      <c r="R26" s="5"/>
      <c r="S26" s="8">
        <f t="shared" si="3"/>
        <v>24</v>
      </c>
    </row>
    <row r="27" ht="15.75" customHeight="1">
      <c r="A27" s="5">
        <v>25.0</v>
      </c>
      <c r="B27" s="5">
        <v>7872.0</v>
      </c>
      <c r="C27" s="5" t="s">
        <v>70</v>
      </c>
      <c r="D27" s="5" t="s">
        <v>71</v>
      </c>
      <c r="E27" s="6">
        <v>41430.0</v>
      </c>
      <c r="F27" s="5">
        <v>65.0</v>
      </c>
      <c r="G27" s="5">
        <v>66.0</v>
      </c>
      <c r="H27" s="5">
        <v>42.0</v>
      </c>
      <c r="I27" s="5">
        <v>70.0</v>
      </c>
      <c r="J27" s="5">
        <v>62.0</v>
      </c>
      <c r="K27" s="5">
        <v>30.0</v>
      </c>
      <c r="L27" s="5">
        <v>37.0</v>
      </c>
      <c r="M27" s="5">
        <v>78.0</v>
      </c>
      <c r="N27" s="5">
        <v>58.0</v>
      </c>
      <c r="O27" s="5">
        <f t="shared" si="1"/>
        <v>508</v>
      </c>
      <c r="P27" s="7">
        <f t="shared" si="2"/>
        <v>0.5976470588</v>
      </c>
      <c r="Q27" s="5">
        <f t="shared" ref="Q27:Q29" si="6">COUNTIF(F27:N27,"&lt;25")</f>
        <v>0</v>
      </c>
      <c r="R27" s="5"/>
      <c r="S27" s="8">
        <f t="shared" si="3"/>
        <v>8</v>
      </c>
    </row>
    <row r="28" ht="15.75" customHeight="1">
      <c r="A28" s="5">
        <v>26.0</v>
      </c>
      <c r="B28" s="5">
        <v>7873.0</v>
      </c>
      <c r="C28" s="5" t="s">
        <v>72</v>
      </c>
      <c r="D28" s="5" t="s">
        <v>73</v>
      </c>
      <c r="E28" s="6">
        <v>41343.0</v>
      </c>
      <c r="F28" s="5">
        <v>64.0</v>
      </c>
      <c r="G28" s="5">
        <v>63.0</v>
      </c>
      <c r="H28" s="5">
        <v>45.0</v>
      </c>
      <c r="I28" s="5">
        <v>73.0</v>
      </c>
      <c r="J28" s="5">
        <v>54.0</v>
      </c>
      <c r="K28" s="5">
        <v>31.0</v>
      </c>
      <c r="L28" s="5">
        <v>28.0</v>
      </c>
      <c r="M28" s="5">
        <v>66.0</v>
      </c>
      <c r="N28" s="5">
        <v>57.0</v>
      </c>
      <c r="O28" s="5">
        <f t="shared" si="1"/>
        <v>481</v>
      </c>
      <c r="P28" s="7">
        <f t="shared" si="2"/>
        <v>0.5658823529</v>
      </c>
      <c r="Q28" s="5">
        <f t="shared" si="6"/>
        <v>0</v>
      </c>
      <c r="R28" s="5"/>
      <c r="S28" s="8">
        <f t="shared" si="3"/>
        <v>10</v>
      </c>
    </row>
    <row r="29" ht="15.75" customHeight="1">
      <c r="A29" s="5">
        <v>27.0</v>
      </c>
      <c r="B29" s="5">
        <v>7874.0</v>
      </c>
      <c r="C29" s="5" t="s">
        <v>74</v>
      </c>
      <c r="D29" s="5" t="s">
        <v>75</v>
      </c>
      <c r="E29" s="6">
        <v>41320.0</v>
      </c>
      <c r="F29" s="5">
        <v>59.0</v>
      </c>
      <c r="G29" s="5">
        <v>63.0</v>
      </c>
      <c r="H29" s="5">
        <v>48.0</v>
      </c>
      <c r="I29" s="5">
        <v>73.0</v>
      </c>
      <c r="J29" s="5">
        <v>56.0</v>
      </c>
      <c r="K29" s="5">
        <v>27.0</v>
      </c>
      <c r="L29" s="5">
        <v>41.0</v>
      </c>
      <c r="M29" s="5">
        <v>73.0</v>
      </c>
      <c r="N29" s="5">
        <v>39.0</v>
      </c>
      <c r="O29" s="5">
        <f t="shared" si="1"/>
        <v>479</v>
      </c>
      <c r="P29" s="7">
        <f t="shared" si="2"/>
        <v>0.5635294118</v>
      </c>
      <c r="Q29" s="5">
        <f t="shared" si="6"/>
        <v>0</v>
      </c>
      <c r="R29" s="5"/>
      <c r="S29" s="8">
        <f t="shared" si="3"/>
        <v>11</v>
      </c>
    </row>
    <row r="30" ht="15.75" customHeight="1">
      <c r="A30" s="5">
        <v>28.0</v>
      </c>
      <c r="B30" s="5">
        <v>7875.0</v>
      </c>
      <c r="C30" s="5" t="s">
        <v>76</v>
      </c>
      <c r="D30" s="5" t="s">
        <v>77</v>
      </c>
      <c r="E30" s="6">
        <v>41367.0</v>
      </c>
      <c r="F30" s="5">
        <v>62.0</v>
      </c>
      <c r="G30" s="5">
        <v>24.0</v>
      </c>
      <c r="H30" s="5">
        <v>43.0</v>
      </c>
      <c r="I30" s="5">
        <v>39.0</v>
      </c>
      <c r="J30" s="5">
        <v>20.0</v>
      </c>
      <c r="K30" s="5">
        <v>17.0</v>
      </c>
      <c r="L30" s="5">
        <v>19.0</v>
      </c>
      <c r="M30" s="5">
        <v>10.0</v>
      </c>
      <c r="N30" s="5">
        <v>14.0</v>
      </c>
      <c r="O30" s="5">
        <f t="shared" si="1"/>
        <v>248</v>
      </c>
      <c r="P30" s="7">
        <f t="shared" si="2"/>
        <v>0.2917647059</v>
      </c>
      <c r="Q30" s="5">
        <v>5.0</v>
      </c>
      <c r="R30" s="5"/>
      <c r="S30" s="8">
        <f t="shared" si="3"/>
        <v>29</v>
      </c>
    </row>
    <row r="31" ht="15.75" customHeight="1">
      <c r="A31" s="5">
        <v>29.0</v>
      </c>
      <c r="B31" s="5">
        <v>7876.0</v>
      </c>
      <c r="C31" s="5" t="s">
        <v>78</v>
      </c>
      <c r="D31" s="5" t="s">
        <v>79</v>
      </c>
      <c r="E31" s="6">
        <v>40404.0</v>
      </c>
      <c r="F31" s="5">
        <v>30.0</v>
      </c>
      <c r="G31" s="5">
        <v>22.0</v>
      </c>
      <c r="H31" s="5">
        <v>6.0</v>
      </c>
      <c r="I31" s="5">
        <v>33.0</v>
      </c>
      <c r="J31" s="5">
        <v>44.0</v>
      </c>
      <c r="K31" s="5">
        <v>18.0</v>
      </c>
      <c r="L31" s="5">
        <v>36.0</v>
      </c>
      <c r="M31" s="5">
        <v>9.0</v>
      </c>
      <c r="N31" s="5">
        <v>11.0</v>
      </c>
      <c r="O31" s="5">
        <f t="shared" si="1"/>
        <v>209</v>
      </c>
      <c r="P31" s="7">
        <f t="shared" si="2"/>
        <v>0.2458823529</v>
      </c>
      <c r="Q31" s="5">
        <v>4.0</v>
      </c>
      <c r="R31" s="5"/>
      <c r="S31" s="8">
        <f t="shared" si="3"/>
        <v>41</v>
      </c>
    </row>
    <row r="32" ht="15.75" customHeight="1">
      <c r="A32" s="5">
        <v>30.0</v>
      </c>
      <c r="B32" s="5">
        <v>7877.0</v>
      </c>
      <c r="C32" s="5" t="s">
        <v>80</v>
      </c>
      <c r="D32" s="5" t="s">
        <v>81</v>
      </c>
      <c r="E32" s="6">
        <v>41338.0</v>
      </c>
      <c r="F32" s="5">
        <v>35.0</v>
      </c>
      <c r="G32" s="5">
        <v>31.0</v>
      </c>
      <c r="H32" s="5">
        <v>17.0</v>
      </c>
      <c r="I32" s="5">
        <v>33.0</v>
      </c>
      <c r="J32" s="5">
        <v>16.0</v>
      </c>
      <c r="K32" s="5">
        <v>19.0</v>
      </c>
      <c r="L32" s="5">
        <v>21.0</v>
      </c>
      <c r="M32" s="5">
        <v>12.0</v>
      </c>
      <c r="N32" s="5">
        <v>33.0</v>
      </c>
      <c r="O32" s="5">
        <f t="shared" si="1"/>
        <v>217</v>
      </c>
      <c r="P32" s="7">
        <f t="shared" si="2"/>
        <v>0.2552941176</v>
      </c>
      <c r="Q32" s="5">
        <v>4.0</v>
      </c>
      <c r="R32" s="5"/>
      <c r="S32" s="8">
        <f t="shared" si="3"/>
        <v>39</v>
      </c>
    </row>
    <row r="33" ht="15.75" customHeight="1">
      <c r="A33" s="5">
        <v>31.0</v>
      </c>
      <c r="B33" s="5">
        <v>7878.0</v>
      </c>
      <c r="C33" s="5" t="s">
        <v>82</v>
      </c>
      <c r="D33" s="5" t="s">
        <v>83</v>
      </c>
      <c r="E33" s="6">
        <v>41349.0</v>
      </c>
      <c r="F33" s="5">
        <v>64.0</v>
      </c>
      <c r="G33" s="5">
        <v>82.0</v>
      </c>
      <c r="H33" s="5">
        <v>37.0</v>
      </c>
      <c r="I33" s="5">
        <v>35.0</v>
      </c>
      <c r="J33" s="5">
        <v>51.0</v>
      </c>
      <c r="K33" s="5">
        <v>33.0</v>
      </c>
      <c r="L33" s="5">
        <v>37.0</v>
      </c>
      <c r="M33" s="5">
        <v>78.0</v>
      </c>
      <c r="N33" s="5">
        <v>90.0</v>
      </c>
      <c r="O33" s="5">
        <f t="shared" si="1"/>
        <v>507</v>
      </c>
      <c r="P33" s="7">
        <f t="shared" si="2"/>
        <v>0.5964705882</v>
      </c>
      <c r="Q33" s="5">
        <f t="shared" ref="Q33:Q34" si="7">COUNTIF(F33:N33,"&lt;25")</f>
        <v>0</v>
      </c>
      <c r="R33" s="5"/>
      <c r="S33" s="8">
        <f t="shared" si="3"/>
        <v>9</v>
      </c>
    </row>
    <row r="34" ht="15.75" customHeight="1">
      <c r="A34" s="5">
        <v>32.0</v>
      </c>
      <c r="B34" s="5">
        <v>7879.0</v>
      </c>
      <c r="C34" s="5" t="s">
        <v>84</v>
      </c>
      <c r="D34" s="5" t="s">
        <v>85</v>
      </c>
      <c r="E34" s="6">
        <v>40906.0</v>
      </c>
      <c r="F34" s="5">
        <v>71.0</v>
      </c>
      <c r="G34" s="5">
        <v>90.0</v>
      </c>
      <c r="H34" s="5">
        <v>39.0</v>
      </c>
      <c r="I34" s="5">
        <v>58.0</v>
      </c>
      <c r="J34" s="5">
        <v>52.0</v>
      </c>
      <c r="K34" s="5">
        <v>38.0</v>
      </c>
      <c r="L34" s="5">
        <v>26.0</v>
      </c>
      <c r="M34" s="5">
        <v>95.0</v>
      </c>
      <c r="N34" s="5">
        <v>52.0</v>
      </c>
      <c r="O34" s="5">
        <f t="shared" si="1"/>
        <v>521</v>
      </c>
      <c r="P34" s="7">
        <f t="shared" si="2"/>
        <v>0.6129411765</v>
      </c>
      <c r="Q34" s="5">
        <f t="shared" si="7"/>
        <v>0</v>
      </c>
      <c r="R34" s="5"/>
      <c r="S34" s="8">
        <f t="shared" si="3"/>
        <v>4</v>
      </c>
    </row>
    <row r="35" ht="15.75" customHeight="1">
      <c r="A35" s="5">
        <v>33.0</v>
      </c>
      <c r="B35" s="5">
        <v>7880.0</v>
      </c>
      <c r="C35" s="5" t="s">
        <v>86</v>
      </c>
      <c r="D35" s="5" t="s">
        <v>87</v>
      </c>
      <c r="E35" s="6">
        <v>40909.0</v>
      </c>
      <c r="F35" s="5">
        <v>31.0</v>
      </c>
      <c r="G35" s="5">
        <v>40.0</v>
      </c>
      <c r="H35" s="5">
        <v>25.0</v>
      </c>
      <c r="I35" s="5">
        <v>21.0</v>
      </c>
      <c r="J35" s="5">
        <v>23.0</v>
      </c>
      <c r="K35" s="5">
        <v>22.0</v>
      </c>
      <c r="L35" s="5">
        <v>25.0</v>
      </c>
      <c r="M35" s="5">
        <v>45.0</v>
      </c>
      <c r="N35" s="5">
        <v>41.0</v>
      </c>
      <c r="O35" s="5">
        <f t="shared" si="1"/>
        <v>273</v>
      </c>
      <c r="P35" s="7">
        <f t="shared" si="2"/>
        <v>0.3211764706</v>
      </c>
      <c r="Q35" s="5">
        <v>2.0</v>
      </c>
      <c r="R35" s="5"/>
      <c r="S35" s="8">
        <f t="shared" si="3"/>
        <v>25</v>
      </c>
    </row>
    <row r="36" ht="15.75" customHeight="1">
      <c r="A36" s="5">
        <v>34.0</v>
      </c>
      <c r="B36" s="5">
        <v>7881.0</v>
      </c>
      <c r="C36" s="5" t="s">
        <v>88</v>
      </c>
      <c r="D36" s="5" t="s">
        <v>89</v>
      </c>
      <c r="E36" s="6">
        <v>41357.0</v>
      </c>
      <c r="F36" s="5">
        <v>30.0</v>
      </c>
      <c r="G36" s="5">
        <v>13.0</v>
      </c>
      <c r="H36" s="5">
        <v>6.0</v>
      </c>
      <c r="I36" s="5">
        <v>33.0</v>
      </c>
      <c r="J36" s="5">
        <v>20.0</v>
      </c>
      <c r="K36" s="5">
        <v>17.0</v>
      </c>
      <c r="L36" s="5">
        <v>16.0</v>
      </c>
      <c r="M36" s="5">
        <v>17.0</v>
      </c>
      <c r="N36" s="5">
        <v>6.0</v>
      </c>
      <c r="O36" s="5">
        <f t="shared" si="1"/>
        <v>158</v>
      </c>
      <c r="P36" s="7">
        <f t="shared" si="2"/>
        <v>0.1858823529</v>
      </c>
      <c r="Q36" s="5">
        <v>6.0</v>
      </c>
      <c r="R36" s="5"/>
      <c r="S36" s="8">
        <f t="shared" si="3"/>
        <v>52</v>
      </c>
    </row>
    <row r="37" ht="15.75" customHeight="1">
      <c r="A37" s="5">
        <v>35.0</v>
      </c>
      <c r="B37" s="5">
        <v>7882.0</v>
      </c>
      <c r="C37" s="5" t="s">
        <v>90</v>
      </c>
      <c r="D37" s="5" t="s">
        <v>91</v>
      </c>
      <c r="E37" s="6">
        <v>41348.0</v>
      </c>
      <c r="F37" s="5">
        <v>33.0</v>
      </c>
      <c r="G37" s="5">
        <v>44.0</v>
      </c>
      <c r="H37" s="5">
        <v>46.0</v>
      </c>
      <c r="I37" s="5">
        <v>60.0</v>
      </c>
      <c r="J37" s="5">
        <v>36.0</v>
      </c>
      <c r="K37" s="5">
        <v>29.0</v>
      </c>
      <c r="L37" s="5">
        <v>24.0</v>
      </c>
      <c r="M37" s="5">
        <v>44.0</v>
      </c>
      <c r="N37" s="5">
        <v>48.0</v>
      </c>
      <c r="O37" s="5">
        <f t="shared" si="1"/>
        <v>364</v>
      </c>
      <c r="P37" s="7">
        <f t="shared" si="2"/>
        <v>0.4282352941</v>
      </c>
      <c r="Q37" s="5">
        <f>COUNTIF(F37:N37,"&lt;25")</f>
        <v>1</v>
      </c>
      <c r="R37" s="5"/>
      <c r="S37" s="8">
        <f t="shared" si="3"/>
        <v>16</v>
      </c>
    </row>
    <row r="38" ht="15.75" customHeight="1">
      <c r="A38" s="5">
        <v>36.0</v>
      </c>
      <c r="B38" s="5">
        <v>7883.0</v>
      </c>
      <c r="C38" s="5" t="s">
        <v>92</v>
      </c>
      <c r="D38" s="5" t="s">
        <v>93</v>
      </c>
      <c r="E38" s="6">
        <v>41705.0</v>
      </c>
      <c r="F38" s="5">
        <v>39.0</v>
      </c>
      <c r="G38" s="5">
        <v>45.0</v>
      </c>
      <c r="H38" s="5">
        <v>37.0</v>
      </c>
      <c r="I38" s="5">
        <v>61.0</v>
      </c>
      <c r="J38" s="5">
        <v>19.0</v>
      </c>
      <c r="K38" s="5">
        <v>24.0</v>
      </c>
      <c r="L38" s="5">
        <v>14.0</v>
      </c>
      <c r="M38" s="5">
        <v>24.0</v>
      </c>
      <c r="N38" s="5">
        <v>36.0</v>
      </c>
      <c r="O38" s="5">
        <f t="shared" si="1"/>
        <v>299</v>
      </c>
      <c r="P38" s="7">
        <f t="shared" si="2"/>
        <v>0.3517647059</v>
      </c>
      <c r="Q38" s="5">
        <v>3.0</v>
      </c>
      <c r="R38" s="5"/>
      <c r="S38" s="8">
        <f t="shared" si="3"/>
        <v>23</v>
      </c>
    </row>
    <row r="39" ht="15.75" customHeight="1">
      <c r="A39" s="5">
        <v>37.0</v>
      </c>
      <c r="B39" s="5">
        <v>7885.0</v>
      </c>
      <c r="C39" s="5" t="s">
        <v>94</v>
      </c>
      <c r="D39" s="5" t="s">
        <v>95</v>
      </c>
      <c r="E39" s="6">
        <v>40132.0</v>
      </c>
      <c r="F39" s="5">
        <v>39.0</v>
      </c>
      <c r="G39" s="5">
        <v>21.0</v>
      </c>
      <c r="H39" s="5">
        <v>43.0</v>
      </c>
      <c r="I39" s="5">
        <v>42.0</v>
      </c>
      <c r="J39" s="5">
        <v>12.0</v>
      </c>
      <c r="K39" s="5">
        <v>17.0</v>
      </c>
      <c r="L39" s="5">
        <v>21.0</v>
      </c>
      <c r="M39" s="5">
        <v>17.0</v>
      </c>
      <c r="N39" s="5">
        <v>11.0</v>
      </c>
      <c r="O39" s="5">
        <f t="shared" si="1"/>
        <v>223</v>
      </c>
      <c r="P39" s="7">
        <f t="shared" si="2"/>
        <v>0.2623529412</v>
      </c>
      <c r="Q39" s="5">
        <v>5.0</v>
      </c>
      <c r="R39" s="5"/>
      <c r="S39" s="8">
        <f t="shared" si="3"/>
        <v>37</v>
      </c>
    </row>
    <row r="40" ht="15.75" customHeight="1">
      <c r="A40" s="5">
        <v>38.0</v>
      </c>
      <c r="B40" s="5">
        <v>7886.0</v>
      </c>
      <c r="C40" s="5" t="s">
        <v>96</v>
      </c>
      <c r="D40" s="5" t="s">
        <v>97</v>
      </c>
      <c r="E40" s="6">
        <v>41338.0</v>
      </c>
      <c r="F40" s="5">
        <v>35.0</v>
      </c>
      <c r="G40" s="5">
        <v>18.0</v>
      </c>
      <c r="H40" s="5">
        <v>19.0</v>
      </c>
      <c r="I40" s="5">
        <v>39.0</v>
      </c>
      <c r="J40" s="5">
        <v>18.0</v>
      </c>
      <c r="K40" s="5">
        <v>9.0</v>
      </c>
      <c r="L40" s="5">
        <v>18.0</v>
      </c>
      <c r="M40" s="5">
        <v>5.0</v>
      </c>
      <c r="N40" s="5">
        <v>9.0</v>
      </c>
      <c r="O40" s="5">
        <f t="shared" si="1"/>
        <v>170</v>
      </c>
      <c r="P40" s="7">
        <f t="shared" si="2"/>
        <v>0.2</v>
      </c>
      <c r="Q40" s="5">
        <f t="shared" ref="Q40:Q41" si="8">COUNTIF(F40:N40,"&lt;25")</f>
        <v>7</v>
      </c>
      <c r="R40" s="5" t="s">
        <v>50</v>
      </c>
      <c r="S40" s="8">
        <f t="shared" si="3"/>
        <v>50</v>
      </c>
    </row>
    <row r="41" ht="15.75" customHeight="1">
      <c r="A41" s="5">
        <v>39.0</v>
      </c>
      <c r="B41" s="5">
        <v>7887.0</v>
      </c>
      <c r="C41" s="5" t="s">
        <v>98</v>
      </c>
      <c r="D41" s="5" t="s">
        <v>99</v>
      </c>
      <c r="E41" s="6">
        <v>41800.0</v>
      </c>
      <c r="F41" s="5">
        <v>24.0</v>
      </c>
      <c r="G41" s="5">
        <v>11.0</v>
      </c>
      <c r="H41" s="5">
        <v>8.0</v>
      </c>
      <c r="I41" s="5">
        <v>23.0</v>
      </c>
      <c r="J41" s="5">
        <v>16.0</v>
      </c>
      <c r="K41" s="5">
        <v>9.0</v>
      </c>
      <c r="L41" s="5">
        <v>26.0</v>
      </c>
      <c r="M41" s="5">
        <v>7.0</v>
      </c>
      <c r="N41" s="5">
        <v>1.0</v>
      </c>
      <c r="O41" s="5">
        <f t="shared" si="1"/>
        <v>125</v>
      </c>
      <c r="P41" s="7">
        <f t="shared" si="2"/>
        <v>0.1470588235</v>
      </c>
      <c r="Q41" s="5">
        <f t="shared" si="8"/>
        <v>8</v>
      </c>
      <c r="R41" s="5" t="s">
        <v>50</v>
      </c>
      <c r="S41" s="8">
        <f t="shared" si="3"/>
        <v>55</v>
      </c>
    </row>
    <row r="42" ht="15.75" customHeight="1">
      <c r="A42" s="5">
        <v>40.0</v>
      </c>
      <c r="B42" s="5">
        <v>7888.0</v>
      </c>
      <c r="C42" s="5" t="s">
        <v>100</v>
      </c>
      <c r="D42" s="5" t="s">
        <v>101</v>
      </c>
      <c r="E42" s="6">
        <v>40975.0</v>
      </c>
      <c r="F42" s="5">
        <v>25.0</v>
      </c>
      <c r="G42" s="5">
        <v>12.0</v>
      </c>
      <c r="H42" s="5">
        <v>8.0</v>
      </c>
      <c r="I42" s="5">
        <v>27.0</v>
      </c>
      <c r="J42" s="5">
        <v>12.0</v>
      </c>
      <c r="K42" s="5">
        <v>17.0</v>
      </c>
      <c r="L42" s="5">
        <v>16.0</v>
      </c>
      <c r="M42" s="5">
        <v>4.0</v>
      </c>
      <c r="N42" s="5">
        <v>8.0</v>
      </c>
      <c r="O42" s="5">
        <f t="shared" si="1"/>
        <v>129</v>
      </c>
      <c r="P42" s="7">
        <f t="shared" si="2"/>
        <v>0.1517647059</v>
      </c>
      <c r="Q42" s="5">
        <v>6.0</v>
      </c>
      <c r="R42" s="5"/>
      <c r="S42" s="8">
        <f t="shared" si="3"/>
        <v>54</v>
      </c>
    </row>
    <row r="43" ht="15.75" customHeight="1">
      <c r="A43" s="5">
        <v>41.0</v>
      </c>
      <c r="B43" s="5">
        <v>7889.0</v>
      </c>
      <c r="C43" s="5" t="s">
        <v>102</v>
      </c>
      <c r="D43" s="5" t="s">
        <v>103</v>
      </c>
      <c r="E43" s="6">
        <v>40637.0</v>
      </c>
      <c r="F43" s="5">
        <v>21.0</v>
      </c>
      <c r="G43" s="5">
        <v>26.0</v>
      </c>
      <c r="H43" s="5">
        <v>5.0</v>
      </c>
      <c r="I43" s="5">
        <v>53.0</v>
      </c>
      <c r="J43" s="5">
        <v>18.0</v>
      </c>
      <c r="K43" s="5">
        <v>6.0</v>
      </c>
      <c r="L43" s="5">
        <v>17.0</v>
      </c>
      <c r="M43" s="5">
        <v>10.0</v>
      </c>
      <c r="N43" s="5">
        <v>26.0</v>
      </c>
      <c r="O43" s="5">
        <f t="shared" si="1"/>
        <v>182</v>
      </c>
      <c r="P43" s="7">
        <f t="shared" si="2"/>
        <v>0.2141176471</v>
      </c>
      <c r="Q43" s="5">
        <f t="shared" ref="Q43:Q44" si="9">COUNTIF(F43:N43,"&lt;25")</f>
        <v>6</v>
      </c>
      <c r="R43" s="5"/>
      <c r="S43" s="8">
        <f t="shared" si="3"/>
        <v>46</v>
      </c>
    </row>
    <row r="44" ht="15.75" customHeight="1">
      <c r="A44" s="5">
        <v>42.0</v>
      </c>
      <c r="B44" s="5">
        <v>7890.0</v>
      </c>
      <c r="C44" s="5" t="s">
        <v>104</v>
      </c>
      <c r="D44" s="5" t="s">
        <v>105</v>
      </c>
      <c r="E44" s="6">
        <v>41369.0</v>
      </c>
      <c r="F44" s="5">
        <v>54.0</v>
      </c>
      <c r="G44" s="5">
        <v>71.0</v>
      </c>
      <c r="H44" s="5">
        <v>35.0</v>
      </c>
      <c r="I44" s="5">
        <v>54.0</v>
      </c>
      <c r="J44" s="5">
        <v>58.0</v>
      </c>
      <c r="K44" s="5">
        <v>36.0</v>
      </c>
      <c r="L44" s="5">
        <v>39.0</v>
      </c>
      <c r="M44" s="5">
        <v>73.0</v>
      </c>
      <c r="N44" s="5">
        <v>57.0</v>
      </c>
      <c r="O44" s="5">
        <f t="shared" si="1"/>
        <v>477</v>
      </c>
      <c r="P44" s="7">
        <f t="shared" si="2"/>
        <v>0.5611764706</v>
      </c>
      <c r="Q44" s="5">
        <f t="shared" si="9"/>
        <v>0</v>
      </c>
      <c r="R44" s="5"/>
      <c r="S44" s="8">
        <f t="shared" si="3"/>
        <v>12</v>
      </c>
    </row>
    <row r="45" ht="15.75" customHeight="1">
      <c r="A45" s="5">
        <v>43.0</v>
      </c>
      <c r="B45" s="5">
        <v>7891.0</v>
      </c>
      <c r="C45" s="5" t="s">
        <v>106</v>
      </c>
      <c r="D45" s="5" t="s">
        <v>107</v>
      </c>
      <c r="E45" s="6">
        <v>41092.0</v>
      </c>
      <c r="F45" s="5">
        <v>36.0</v>
      </c>
      <c r="G45" s="5">
        <v>10.0</v>
      </c>
      <c r="H45" s="5">
        <v>7.0</v>
      </c>
      <c r="I45" s="5">
        <v>8.0</v>
      </c>
      <c r="J45" s="5">
        <v>14.0</v>
      </c>
      <c r="K45" s="5">
        <v>18.0</v>
      </c>
      <c r="L45" s="5">
        <v>6.0</v>
      </c>
      <c r="M45" s="5">
        <v>5.0</v>
      </c>
      <c r="N45" s="5">
        <v>10.0</v>
      </c>
      <c r="O45" s="5">
        <f t="shared" si="1"/>
        <v>114</v>
      </c>
      <c r="P45" s="7">
        <f t="shared" si="2"/>
        <v>0.1341176471</v>
      </c>
      <c r="Q45" s="5">
        <v>7.0</v>
      </c>
      <c r="R45" s="5" t="s">
        <v>50</v>
      </c>
      <c r="S45" s="8">
        <f t="shared" si="3"/>
        <v>56</v>
      </c>
    </row>
    <row r="46" ht="15.75" customHeight="1">
      <c r="A46" s="5">
        <v>44.0</v>
      </c>
      <c r="B46" s="5">
        <v>7892.0</v>
      </c>
      <c r="C46" s="5" t="s">
        <v>108</v>
      </c>
      <c r="D46" s="5" t="s">
        <v>109</v>
      </c>
      <c r="E46" s="6">
        <v>40993.0</v>
      </c>
      <c r="F46" s="5">
        <v>40.0</v>
      </c>
      <c r="G46" s="5">
        <v>39.0</v>
      </c>
      <c r="H46" s="5">
        <v>34.0</v>
      </c>
      <c r="I46" s="5">
        <v>57.0</v>
      </c>
      <c r="J46" s="5">
        <v>8.0</v>
      </c>
      <c r="K46" s="5">
        <v>17.0</v>
      </c>
      <c r="L46" s="5">
        <v>14.0</v>
      </c>
      <c r="M46" s="5">
        <v>18.0</v>
      </c>
      <c r="N46" s="5">
        <v>38.0</v>
      </c>
      <c r="O46" s="5">
        <f t="shared" si="1"/>
        <v>265</v>
      </c>
      <c r="P46" s="7">
        <f t="shared" si="2"/>
        <v>0.3117647059</v>
      </c>
      <c r="Q46" s="5">
        <v>3.0</v>
      </c>
      <c r="R46" s="5"/>
      <c r="S46" s="8">
        <f t="shared" si="3"/>
        <v>27</v>
      </c>
    </row>
    <row r="47" ht="15.75" customHeight="1">
      <c r="A47" s="5">
        <v>45.0</v>
      </c>
      <c r="B47" s="5">
        <v>7893.0</v>
      </c>
      <c r="C47" s="5" t="s">
        <v>54</v>
      </c>
      <c r="D47" s="5" t="s">
        <v>110</v>
      </c>
      <c r="E47" s="6">
        <v>41369.0</v>
      </c>
      <c r="F47" s="5">
        <v>34.0</v>
      </c>
      <c r="G47" s="5">
        <v>33.0</v>
      </c>
      <c r="H47" s="5">
        <v>35.0</v>
      </c>
      <c r="I47" s="5">
        <v>34.0</v>
      </c>
      <c r="J47" s="5">
        <v>16.0</v>
      </c>
      <c r="K47" s="5">
        <v>17.0</v>
      </c>
      <c r="L47" s="5">
        <v>9.0</v>
      </c>
      <c r="M47" s="5">
        <v>9.0</v>
      </c>
      <c r="N47" s="5">
        <v>37.0</v>
      </c>
      <c r="O47" s="5">
        <f t="shared" si="1"/>
        <v>224</v>
      </c>
      <c r="P47" s="7">
        <f t="shared" si="2"/>
        <v>0.2635294118</v>
      </c>
      <c r="Q47" s="5">
        <v>3.0</v>
      </c>
      <c r="R47" s="5"/>
      <c r="S47" s="8">
        <f t="shared" si="3"/>
        <v>36</v>
      </c>
    </row>
    <row r="48" ht="15.75" customHeight="1">
      <c r="A48" s="5">
        <v>46.0</v>
      </c>
      <c r="B48" s="5">
        <v>7894.0</v>
      </c>
      <c r="C48" s="5" t="s">
        <v>111</v>
      </c>
      <c r="D48" s="5" t="s">
        <v>112</v>
      </c>
      <c r="E48" s="6">
        <v>41337.0</v>
      </c>
      <c r="F48" s="5">
        <v>27.0</v>
      </c>
      <c r="G48" s="5">
        <v>25.0</v>
      </c>
      <c r="H48" s="5">
        <v>8.0</v>
      </c>
      <c r="I48" s="5">
        <v>38.0</v>
      </c>
      <c r="J48" s="5">
        <v>12.0</v>
      </c>
      <c r="K48" s="5">
        <v>21.0</v>
      </c>
      <c r="L48" s="5">
        <v>17.0</v>
      </c>
      <c r="M48" s="5">
        <v>16.0</v>
      </c>
      <c r="N48" s="5">
        <v>17.0</v>
      </c>
      <c r="O48" s="5">
        <f t="shared" si="1"/>
        <v>181</v>
      </c>
      <c r="P48" s="7">
        <f t="shared" si="2"/>
        <v>0.2129411765</v>
      </c>
      <c r="Q48" s="5">
        <v>5.0</v>
      </c>
      <c r="R48" s="5"/>
      <c r="S48" s="8">
        <f t="shared" si="3"/>
        <v>47</v>
      </c>
    </row>
    <row r="49" ht="15.75" customHeight="1">
      <c r="A49" s="5">
        <v>47.0</v>
      </c>
      <c r="B49" s="5">
        <v>7740.0</v>
      </c>
      <c r="C49" s="5" t="s">
        <v>66</v>
      </c>
      <c r="D49" s="5" t="s">
        <v>113</v>
      </c>
      <c r="E49" s="6">
        <v>40995.0</v>
      </c>
      <c r="F49" s="5">
        <v>28.0</v>
      </c>
      <c r="G49" s="5">
        <v>51.0</v>
      </c>
      <c r="H49" s="5">
        <v>6.0</v>
      </c>
      <c r="I49" s="5">
        <v>44.0</v>
      </c>
      <c r="J49" s="5">
        <v>42.0</v>
      </c>
      <c r="K49" s="5">
        <v>34.0</v>
      </c>
      <c r="L49" s="5">
        <v>24.0</v>
      </c>
      <c r="M49" s="5">
        <v>33.0</v>
      </c>
      <c r="N49" s="5">
        <v>39.0</v>
      </c>
      <c r="O49" s="5">
        <f t="shared" si="1"/>
        <v>301</v>
      </c>
      <c r="P49" s="7">
        <f t="shared" si="2"/>
        <v>0.3541176471</v>
      </c>
      <c r="Q49" s="5">
        <f t="shared" ref="Q49:Q50" si="10">COUNTIF(F49:N49,"&lt;25")</f>
        <v>2</v>
      </c>
      <c r="R49" s="5"/>
      <c r="S49" s="8">
        <f t="shared" si="3"/>
        <v>22</v>
      </c>
    </row>
    <row r="50" ht="15.75" customHeight="1">
      <c r="A50" s="5">
        <v>48.0</v>
      </c>
      <c r="B50" s="5">
        <v>7829.0</v>
      </c>
      <c r="C50" s="5" t="s">
        <v>114</v>
      </c>
      <c r="D50" s="5" t="s">
        <v>115</v>
      </c>
      <c r="E50" s="6">
        <v>40953.0</v>
      </c>
      <c r="F50" s="5">
        <v>33.0</v>
      </c>
      <c r="G50" s="5">
        <v>14.0</v>
      </c>
      <c r="H50" s="5">
        <v>6.0</v>
      </c>
      <c r="I50" s="5">
        <v>41.0</v>
      </c>
      <c r="J50" s="5">
        <v>13.0</v>
      </c>
      <c r="K50" s="5">
        <v>8.0</v>
      </c>
      <c r="L50" s="5">
        <v>15.0</v>
      </c>
      <c r="M50" s="5">
        <v>26.0</v>
      </c>
      <c r="N50" s="5">
        <v>21.0</v>
      </c>
      <c r="O50" s="5">
        <f t="shared" si="1"/>
        <v>177</v>
      </c>
      <c r="P50" s="7">
        <f t="shared" si="2"/>
        <v>0.2082352941</v>
      </c>
      <c r="Q50" s="5">
        <f t="shared" si="10"/>
        <v>6</v>
      </c>
      <c r="R50" s="5"/>
      <c r="S50" s="8">
        <f t="shared" si="3"/>
        <v>49</v>
      </c>
    </row>
    <row r="51" ht="15.75" customHeight="1">
      <c r="A51" s="5">
        <v>49.0</v>
      </c>
      <c r="B51" s="5">
        <v>7895.0</v>
      </c>
      <c r="C51" s="5" t="s">
        <v>116</v>
      </c>
      <c r="D51" s="5" t="s">
        <v>42</v>
      </c>
      <c r="E51" s="6">
        <v>41854.0</v>
      </c>
      <c r="F51" s="5">
        <v>33.0</v>
      </c>
      <c r="G51" s="5">
        <v>35.0</v>
      </c>
      <c r="H51" s="5">
        <v>6.0</v>
      </c>
      <c r="I51" s="5">
        <v>56.0</v>
      </c>
      <c r="J51" s="5">
        <v>22.0</v>
      </c>
      <c r="K51" s="5">
        <v>21.0</v>
      </c>
      <c r="L51" s="5">
        <v>13.0</v>
      </c>
      <c r="M51" s="5">
        <v>27.0</v>
      </c>
      <c r="N51" s="5">
        <v>33.0</v>
      </c>
      <c r="O51" s="5">
        <f t="shared" si="1"/>
        <v>246</v>
      </c>
      <c r="P51" s="7">
        <f t="shared" si="2"/>
        <v>0.2894117647</v>
      </c>
      <c r="Q51" s="5">
        <v>3.0</v>
      </c>
      <c r="R51" s="5"/>
      <c r="S51" s="8">
        <f t="shared" si="3"/>
        <v>30</v>
      </c>
    </row>
    <row r="52" ht="15.75" customHeight="1">
      <c r="A52" s="5">
        <v>50.0</v>
      </c>
      <c r="B52" s="5">
        <v>7896.0</v>
      </c>
      <c r="C52" s="5" t="s">
        <v>117</v>
      </c>
      <c r="D52" s="5" t="s">
        <v>118</v>
      </c>
      <c r="E52" s="6" t="s">
        <v>119</v>
      </c>
      <c r="F52" s="5">
        <v>66.0</v>
      </c>
      <c r="G52" s="5">
        <v>39.0</v>
      </c>
      <c r="H52" s="5">
        <v>35.0</v>
      </c>
      <c r="I52" s="5">
        <v>58.0</v>
      </c>
      <c r="J52" s="5">
        <v>23.0</v>
      </c>
      <c r="K52" s="5">
        <v>17.0</v>
      </c>
      <c r="L52" s="5">
        <v>26.0</v>
      </c>
      <c r="M52" s="5">
        <v>55.0</v>
      </c>
      <c r="N52" s="5">
        <v>33.0</v>
      </c>
      <c r="O52" s="5">
        <f t="shared" si="1"/>
        <v>352</v>
      </c>
      <c r="P52" s="7">
        <f t="shared" si="2"/>
        <v>0.4141176471</v>
      </c>
      <c r="Q52" s="5">
        <v>1.0</v>
      </c>
      <c r="R52" s="5"/>
      <c r="S52" s="8">
        <f t="shared" si="3"/>
        <v>17</v>
      </c>
    </row>
    <row r="53" ht="15.75" customHeight="1">
      <c r="A53" s="5">
        <v>51.0</v>
      </c>
      <c r="B53" s="5">
        <v>7897.0</v>
      </c>
      <c r="C53" s="5" t="s">
        <v>120</v>
      </c>
      <c r="D53" s="5" t="s">
        <v>121</v>
      </c>
      <c r="E53" s="6">
        <v>41183.0</v>
      </c>
      <c r="F53" s="5">
        <v>45.0</v>
      </c>
      <c r="G53" s="5">
        <v>36.0</v>
      </c>
      <c r="H53" s="5">
        <v>5.0</v>
      </c>
      <c r="I53" s="5">
        <v>36.0</v>
      </c>
      <c r="J53" s="5">
        <v>10.0</v>
      </c>
      <c r="K53" s="5">
        <v>18.0</v>
      </c>
      <c r="L53" s="5">
        <v>10.0</v>
      </c>
      <c r="M53" s="5">
        <v>17.0</v>
      </c>
      <c r="N53" s="5">
        <v>21.0</v>
      </c>
      <c r="O53" s="5">
        <f t="shared" si="1"/>
        <v>198</v>
      </c>
      <c r="P53" s="7">
        <f t="shared" si="2"/>
        <v>0.2329411765</v>
      </c>
      <c r="Q53" s="5">
        <v>5.0</v>
      </c>
      <c r="R53" s="5"/>
      <c r="S53" s="8">
        <f t="shared" si="3"/>
        <v>44</v>
      </c>
    </row>
    <row r="54" ht="15.75" customHeight="1">
      <c r="A54" s="5">
        <v>52.0</v>
      </c>
      <c r="B54" s="5">
        <v>7898.0</v>
      </c>
      <c r="C54" s="5" t="s">
        <v>122</v>
      </c>
      <c r="D54" s="5" t="s">
        <v>123</v>
      </c>
      <c r="E54" s="6">
        <v>41186.0</v>
      </c>
      <c r="F54" s="5">
        <v>17.0</v>
      </c>
      <c r="G54" s="5">
        <v>7.0</v>
      </c>
      <c r="H54" s="5">
        <v>0.0</v>
      </c>
      <c r="I54" s="5">
        <v>25.0</v>
      </c>
      <c r="J54" s="5">
        <v>4.0</v>
      </c>
      <c r="K54" s="5">
        <v>17.0</v>
      </c>
      <c r="L54" s="5">
        <v>6.0</v>
      </c>
      <c r="M54" s="5">
        <v>4.0</v>
      </c>
      <c r="N54" s="5">
        <v>2.0</v>
      </c>
      <c r="O54" s="5">
        <f t="shared" si="1"/>
        <v>82</v>
      </c>
      <c r="P54" s="7">
        <f t="shared" si="2"/>
        <v>0.09647058824</v>
      </c>
      <c r="Q54" s="5">
        <v>7.0</v>
      </c>
      <c r="R54" s="5" t="s">
        <v>50</v>
      </c>
      <c r="S54" s="8">
        <f t="shared" si="3"/>
        <v>58</v>
      </c>
    </row>
    <row r="55" ht="15.75" customHeight="1">
      <c r="A55" s="5">
        <v>53.0</v>
      </c>
      <c r="B55" s="5">
        <v>7899.0</v>
      </c>
      <c r="C55" s="5" t="s">
        <v>39</v>
      </c>
      <c r="D55" s="5" t="s">
        <v>124</v>
      </c>
      <c r="E55" s="6">
        <v>41215.0</v>
      </c>
      <c r="F55" s="5">
        <v>41.0</v>
      </c>
      <c r="G55" s="5">
        <v>40.0</v>
      </c>
      <c r="H55" s="5">
        <v>7.0</v>
      </c>
      <c r="I55" s="5">
        <v>48.0</v>
      </c>
      <c r="J55" s="5">
        <v>25.0</v>
      </c>
      <c r="K55" s="5">
        <v>17.0</v>
      </c>
      <c r="L55" s="5">
        <v>16.0</v>
      </c>
      <c r="M55" s="5">
        <v>22.0</v>
      </c>
      <c r="N55" s="5">
        <v>16.0</v>
      </c>
      <c r="O55" s="5">
        <f t="shared" si="1"/>
        <v>232</v>
      </c>
      <c r="P55" s="7">
        <f t="shared" si="2"/>
        <v>0.2729411765</v>
      </c>
      <c r="Q55" s="5">
        <v>4.0</v>
      </c>
      <c r="R55" s="5"/>
      <c r="S55" s="8">
        <f t="shared" si="3"/>
        <v>33</v>
      </c>
    </row>
    <row r="56" ht="15.75" customHeight="1">
      <c r="A56" s="5">
        <v>54.0</v>
      </c>
      <c r="B56" s="5">
        <v>7900.0</v>
      </c>
      <c r="C56" s="5" t="s">
        <v>125</v>
      </c>
      <c r="D56" s="5" t="s">
        <v>126</v>
      </c>
      <c r="E56" s="6">
        <v>41612.0</v>
      </c>
      <c r="F56" s="5">
        <v>59.0</v>
      </c>
      <c r="G56" s="5">
        <v>50.0</v>
      </c>
      <c r="H56" s="5">
        <v>37.0</v>
      </c>
      <c r="I56" s="5">
        <v>63.0</v>
      </c>
      <c r="J56" s="5">
        <v>52.0</v>
      </c>
      <c r="K56" s="5">
        <v>24.0</v>
      </c>
      <c r="L56" s="5">
        <v>34.0</v>
      </c>
      <c r="M56" s="5">
        <v>43.0</v>
      </c>
      <c r="N56" s="5">
        <v>33.0</v>
      </c>
      <c r="O56" s="5">
        <f t="shared" si="1"/>
        <v>395</v>
      </c>
      <c r="P56" s="7">
        <f t="shared" si="2"/>
        <v>0.4647058824</v>
      </c>
      <c r="Q56" s="5">
        <v>0.0</v>
      </c>
      <c r="R56" s="5"/>
      <c r="S56" s="8">
        <f t="shared" si="3"/>
        <v>15</v>
      </c>
    </row>
    <row r="57" ht="15.75" customHeight="1">
      <c r="A57" s="5">
        <v>55.0</v>
      </c>
      <c r="B57" s="5">
        <v>7923.0</v>
      </c>
      <c r="C57" s="5" t="s">
        <v>93</v>
      </c>
      <c r="D57" s="5" t="s">
        <v>127</v>
      </c>
      <c r="E57" s="6">
        <v>41616.0</v>
      </c>
      <c r="F57" s="5">
        <v>51.0</v>
      </c>
      <c r="G57" s="5">
        <v>45.0</v>
      </c>
      <c r="H57" s="5">
        <v>45.0</v>
      </c>
      <c r="I57" s="5">
        <v>64.0</v>
      </c>
      <c r="J57" s="5">
        <v>27.0</v>
      </c>
      <c r="K57" s="5">
        <v>17.0</v>
      </c>
      <c r="L57" s="5">
        <v>38.0</v>
      </c>
      <c r="M57" s="5">
        <v>41.0</v>
      </c>
      <c r="N57" s="5">
        <v>11.0</v>
      </c>
      <c r="O57" s="5">
        <f t="shared" si="1"/>
        <v>339</v>
      </c>
      <c r="P57" s="7">
        <f t="shared" si="2"/>
        <v>0.3988235294</v>
      </c>
      <c r="Q57" s="5">
        <v>1.0</v>
      </c>
      <c r="R57" s="5"/>
      <c r="S57" s="8">
        <f t="shared" si="3"/>
        <v>19</v>
      </c>
    </row>
    <row r="58" ht="15.75" customHeight="1">
      <c r="A58" s="5">
        <v>56.0</v>
      </c>
      <c r="B58" s="5">
        <v>7925.0</v>
      </c>
      <c r="C58" s="5" t="s">
        <v>128</v>
      </c>
      <c r="D58" s="5" t="s">
        <v>129</v>
      </c>
      <c r="E58" s="6" t="s">
        <v>130</v>
      </c>
      <c r="F58" s="5">
        <v>48.0</v>
      </c>
      <c r="G58" s="5">
        <v>65.0</v>
      </c>
      <c r="H58" s="5">
        <v>55.0</v>
      </c>
      <c r="I58" s="5">
        <v>67.0</v>
      </c>
      <c r="J58" s="5">
        <v>64.0</v>
      </c>
      <c r="K58" s="5">
        <v>36.0</v>
      </c>
      <c r="L58" s="5">
        <v>52.0</v>
      </c>
      <c r="M58" s="5">
        <v>65.0</v>
      </c>
      <c r="N58" s="5">
        <v>64.0</v>
      </c>
      <c r="O58" s="5">
        <f t="shared" si="1"/>
        <v>516</v>
      </c>
      <c r="P58" s="7">
        <f t="shared" si="2"/>
        <v>0.6070588235</v>
      </c>
      <c r="Q58" s="5">
        <f>COUNTIF(F58:N58,"&lt;25")</f>
        <v>0</v>
      </c>
      <c r="R58" s="5"/>
      <c r="S58" s="8">
        <f t="shared" si="3"/>
        <v>7</v>
      </c>
    </row>
    <row r="59" ht="15.75" customHeight="1">
      <c r="A59" s="5">
        <v>57.0</v>
      </c>
      <c r="B59" s="5">
        <v>7932.0</v>
      </c>
      <c r="C59" s="5" t="s">
        <v>131</v>
      </c>
      <c r="D59" s="5" t="s">
        <v>132</v>
      </c>
      <c r="E59" s="6" t="s">
        <v>133</v>
      </c>
      <c r="F59" s="5">
        <v>38.0</v>
      </c>
      <c r="G59" s="5">
        <v>28.0</v>
      </c>
      <c r="H59" s="5">
        <v>41.0</v>
      </c>
      <c r="I59" s="5">
        <v>38.0</v>
      </c>
      <c r="J59" s="5">
        <v>16.0</v>
      </c>
      <c r="K59" s="5">
        <v>18.0</v>
      </c>
      <c r="L59" s="5">
        <v>19.0</v>
      </c>
      <c r="M59" s="5">
        <v>29.0</v>
      </c>
      <c r="N59" s="5">
        <v>6.0</v>
      </c>
      <c r="O59" s="5">
        <f t="shared" si="1"/>
        <v>233</v>
      </c>
      <c r="P59" s="7">
        <f t="shared" si="2"/>
        <v>0.2741176471</v>
      </c>
      <c r="Q59" s="5">
        <v>3.0</v>
      </c>
      <c r="R59" s="5"/>
      <c r="S59" s="8">
        <f t="shared" si="3"/>
        <v>31</v>
      </c>
    </row>
    <row r="60" ht="15.75" customHeight="1">
      <c r="A60" s="5">
        <v>58.0</v>
      </c>
      <c r="B60" s="5">
        <v>7934.0</v>
      </c>
      <c r="C60" s="5" t="s">
        <v>51</v>
      </c>
      <c r="D60" s="5" t="s">
        <v>87</v>
      </c>
      <c r="E60" s="6">
        <v>40970.0</v>
      </c>
      <c r="F60" s="5">
        <v>38.0</v>
      </c>
      <c r="G60" s="5">
        <v>33.0</v>
      </c>
      <c r="H60" s="5">
        <v>33.0</v>
      </c>
      <c r="I60" s="5">
        <v>17.0</v>
      </c>
      <c r="J60" s="5">
        <v>10.0</v>
      </c>
      <c r="K60" s="5">
        <v>20.0</v>
      </c>
      <c r="L60" s="5">
        <v>13.0</v>
      </c>
      <c r="M60" s="5">
        <v>10.0</v>
      </c>
      <c r="N60" s="5">
        <v>7.0</v>
      </c>
      <c r="O60" s="5">
        <f t="shared" si="1"/>
        <v>181</v>
      </c>
      <c r="P60" s="7">
        <f t="shared" si="2"/>
        <v>0.2129411765</v>
      </c>
      <c r="Q60" s="5">
        <v>5.0</v>
      </c>
      <c r="R60" s="5"/>
      <c r="S60" s="8">
        <f t="shared" si="3"/>
        <v>47</v>
      </c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ht="24.75" customHeight="1">
      <c r="A63" s="11"/>
      <c r="B63" s="11"/>
      <c r="C63" s="11"/>
      <c r="D63" s="11"/>
      <c r="E63" s="12" t="s">
        <v>134</v>
      </c>
      <c r="I63" s="12">
        <v>58.0</v>
      </c>
      <c r="J63" s="11"/>
      <c r="K63" s="11"/>
      <c r="L63" s="11"/>
      <c r="M63" s="11"/>
      <c r="N63" s="11"/>
      <c r="O63" s="11"/>
      <c r="P63" s="11"/>
      <c r="Q63" s="11"/>
      <c r="R63" s="11"/>
    </row>
    <row r="64" ht="15.75" customHeight="1">
      <c r="A64" s="11"/>
      <c r="B64" s="11"/>
      <c r="C64" s="11"/>
      <c r="D64" s="11"/>
      <c r="E64" s="12" t="s">
        <v>135</v>
      </c>
      <c r="I64" s="12">
        <f>I63-I65</f>
        <v>52</v>
      </c>
      <c r="J64" s="11"/>
      <c r="K64" s="11"/>
      <c r="L64" s="11"/>
      <c r="M64" s="11"/>
      <c r="N64" s="11"/>
      <c r="O64" s="11"/>
      <c r="P64" s="11"/>
      <c r="Q64" s="11"/>
      <c r="R64" s="11"/>
    </row>
    <row r="65" ht="15.0" customHeight="1">
      <c r="A65" s="13"/>
      <c r="B65" s="11"/>
      <c r="C65" s="11"/>
      <c r="D65" s="11"/>
      <c r="E65" s="12" t="s">
        <v>136</v>
      </c>
      <c r="I65" s="12">
        <v>6.0</v>
      </c>
      <c r="J65" s="11"/>
      <c r="K65" s="11"/>
      <c r="L65" s="11"/>
      <c r="M65" s="11"/>
      <c r="N65" s="11"/>
      <c r="O65" s="11"/>
      <c r="P65" s="11"/>
      <c r="Q65" s="11"/>
      <c r="R65" s="11"/>
    </row>
    <row r="66" ht="15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ht="15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ht="15.75" customHeight="1">
      <c r="A68" s="11"/>
      <c r="B68" s="11"/>
      <c r="C68" s="11"/>
      <c r="D68" s="11"/>
      <c r="E68" s="14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ht="15.75" customHeight="1">
      <c r="A69" s="11" t="s">
        <v>137</v>
      </c>
      <c r="D69" s="11"/>
      <c r="E69" s="14" t="s">
        <v>138</v>
      </c>
      <c r="G69" s="11"/>
      <c r="H69" s="11"/>
      <c r="I69" s="11"/>
      <c r="J69" s="11"/>
      <c r="K69" s="11"/>
      <c r="L69" s="11"/>
      <c r="M69" s="11" t="s">
        <v>139</v>
      </c>
      <c r="P69" s="11"/>
      <c r="Q69" s="11"/>
      <c r="R69" s="11"/>
    </row>
    <row r="70" ht="15.75" customHeight="1">
      <c r="A70" s="15" t="s">
        <v>140</v>
      </c>
      <c r="D70" s="11"/>
      <c r="E70" s="16" t="s">
        <v>141</v>
      </c>
      <c r="G70" s="11"/>
      <c r="H70" s="11"/>
      <c r="I70" s="11"/>
      <c r="J70" s="11"/>
      <c r="K70" s="11"/>
      <c r="L70" s="11"/>
      <c r="M70" s="15" t="s">
        <v>142</v>
      </c>
      <c r="P70" s="11"/>
      <c r="Q70" s="11"/>
      <c r="R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</sheetData>
  <mergeCells count="10">
    <mergeCell ref="E69:F69"/>
    <mergeCell ref="E70:F70"/>
    <mergeCell ref="A1:R1"/>
    <mergeCell ref="E63:H63"/>
    <mergeCell ref="E64:H64"/>
    <mergeCell ref="E65:H65"/>
    <mergeCell ref="A69:C69"/>
    <mergeCell ref="M69:O69"/>
    <mergeCell ref="A70:C70"/>
    <mergeCell ref="M70:O70"/>
  </mergeCells>
  <printOptions horizontalCentered="1"/>
  <pageMargins bottom="0.1" footer="0.0" header="0.0" left="0.1" right="0.1" top="0.25"/>
  <pageSetup paperSize="5" scale="93" orientation="landscape"/>
  <drawing r:id="rId1"/>
</worksheet>
</file>